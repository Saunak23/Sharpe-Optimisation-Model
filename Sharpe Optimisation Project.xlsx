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 Drive\Document File\5th Semester\Wealth Management\"/>
    </mc:Choice>
  </mc:AlternateContent>
  <xr:revisionPtr revIDLastSave="0" documentId="13_ncr:1_{A386C316-BBB0-419F-AAEA-98DF2C4EA6B4}" xr6:coauthVersionLast="47" xr6:coauthVersionMax="47" xr10:uidLastSave="{00000000-0000-0000-0000-000000000000}"/>
  <bookViews>
    <workbookView xWindow="-110" yWindow="-110" windowWidth="19420" windowHeight="10420" activeTab="2" xr2:uid="{7098CAC8-3D09-415D-9957-2388EB07320B}"/>
  </bookViews>
  <sheets>
    <sheet name="Sheet1" sheetId="1" r:id="rId1"/>
    <sheet name="Sheet2" sheetId="3" r:id="rId2"/>
    <sheet name="Sheet3" sheetId="4" r:id="rId3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Sheet3!$E$6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3" l="1"/>
  <c r="S5" i="3"/>
  <c r="T5" i="3"/>
  <c r="U5" i="3"/>
  <c r="V5" i="3"/>
  <c r="W5" i="3"/>
  <c r="X5" i="3"/>
  <c r="Y5" i="3"/>
  <c r="Z5" i="3"/>
  <c r="Q5" i="3"/>
  <c r="P5" i="3"/>
  <c r="R4" i="3"/>
  <c r="S4" i="3"/>
  <c r="T4" i="3"/>
  <c r="U4" i="3"/>
  <c r="V4" i="3"/>
  <c r="W4" i="3"/>
  <c r="X4" i="3"/>
  <c r="Y4" i="3"/>
  <c r="Z4" i="3"/>
  <c r="Q4" i="3"/>
  <c r="P4" i="3"/>
  <c r="R3" i="3"/>
  <c r="S3" i="3"/>
  <c r="T3" i="3"/>
  <c r="U3" i="3"/>
  <c r="V3" i="3"/>
  <c r="W3" i="3"/>
  <c r="X3" i="3"/>
  <c r="Q3" i="3"/>
  <c r="P3" i="3"/>
  <c r="Z2" i="3"/>
  <c r="Q2" i="3"/>
  <c r="R2" i="3"/>
  <c r="S2" i="3"/>
  <c r="T2" i="3"/>
  <c r="U2" i="3"/>
  <c r="V2" i="3"/>
  <c r="W2" i="3"/>
  <c r="X2" i="3"/>
  <c r="Y2" i="3"/>
  <c r="P2" i="3"/>
  <c r="Q31" i="3"/>
  <c r="Q29" i="3"/>
  <c r="R29" i="3"/>
  <c r="Q28" i="3"/>
  <c r="R28" i="3"/>
  <c r="P28" i="3"/>
  <c r="P29" i="3"/>
  <c r="Q27" i="3"/>
  <c r="R27" i="3"/>
  <c r="P27" i="3"/>
  <c r="H6" i="4"/>
  <c r="H5" i="4"/>
  <c r="H4" i="4"/>
  <c r="H7" i="4" s="1"/>
  <c r="Y14" i="3" l="1"/>
  <c r="P31" i="3" a="1"/>
  <c r="P31" i="3" s="1"/>
  <c r="D9" i="4" s="1"/>
  <c r="AE15" i="3" l="1"/>
  <c r="AE16" i="3"/>
  <c r="AA15" i="3"/>
  <c r="AA16" i="3"/>
  <c r="AA17" i="3"/>
  <c r="AA18" i="3"/>
  <c r="AA19" i="3"/>
  <c r="AA20" i="3"/>
  <c r="AA21" i="3"/>
  <c r="AA22" i="3"/>
  <c r="AA23" i="3"/>
  <c r="Y15" i="3"/>
  <c r="Y16" i="3"/>
  <c r="Y17" i="3"/>
  <c r="Y18" i="3"/>
  <c r="Y19" i="3"/>
  <c r="Y20" i="3"/>
  <c r="Y21" i="3"/>
  <c r="Y22" i="3"/>
  <c r="Y23" i="3"/>
  <c r="AA14" i="3"/>
  <c r="K276" i="3"/>
  <c r="B276" i="3"/>
  <c r="C276" i="3"/>
  <c r="D276" i="3"/>
  <c r="E276" i="3"/>
  <c r="F276" i="3"/>
  <c r="G276" i="3"/>
  <c r="H276" i="3"/>
  <c r="I276" i="3"/>
  <c r="K274" i="3"/>
  <c r="B274" i="3"/>
  <c r="C274" i="3"/>
  <c r="D274" i="3"/>
  <c r="E274" i="3"/>
  <c r="F274" i="3"/>
  <c r="G274" i="3"/>
  <c r="H274" i="3"/>
  <c r="I274" i="3"/>
  <c r="C277" i="3" l="1"/>
  <c r="D275" i="3"/>
  <c r="C275" i="3"/>
  <c r="D277" i="3"/>
  <c r="F275" i="3"/>
  <c r="E5" i="4" s="1"/>
  <c r="E275" i="3"/>
  <c r="B275" i="3"/>
  <c r="I277" i="3"/>
  <c r="G277" i="3"/>
  <c r="F277" i="3"/>
  <c r="E277" i="3"/>
  <c r="K275" i="3"/>
  <c r="Y3" i="3" s="1"/>
  <c r="I275" i="3"/>
  <c r="H277" i="3"/>
  <c r="H275" i="3"/>
  <c r="G275" i="3"/>
  <c r="E6" i="4" s="1"/>
  <c r="B277" i="3"/>
  <c r="K277" i="3"/>
  <c r="L274" i="3"/>
  <c r="W6" i="3"/>
  <c r="U6" i="3"/>
  <c r="X6" i="3"/>
  <c r="V6" i="3"/>
  <c r="V9" i="3" s="1"/>
  <c r="P6" i="3"/>
  <c r="L276" i="3"/>
  <c r="Y6" i="3"/>
  <c r="Z6" i="3"/>
  <c r="Q6" i="3"/>
  <c r="R6" i="3"/>
  <c r="T6" i="3"/>
  <c r="T9" i="3" s="1"/>
  <c r="S6" i="3"/>
  <c r="L277" i="3" l="1"/>
  <c r="Q7" i="3" s="1"/>
  <c r="Q8" i="3" s="1"/>
  <c r="Z7" i="3"/>
  <c r="Z8" i="3" s="1"/>
  <c r="U7" i="3"/>
  <c r="U8" i="3" s="1"/>
  <c r="W7" i="3"/>
  <c r="W8" i="3" s="1"/>
  <c r="R7" i="3"/>
  <c r="R8" i="3" s="1"/>
  <c r="S7" i="3"/>
  <c r="S8" i="3" s="1"/>
  <c r="L275" i="3"/>
  <c r="Z3" i="3" s="1"/>
  <c r="P9" i="3"/>
  <c r="Y9" i="3"/>
  <c r="U9" i="3"/>
  <c r="W9" i="3"/>
  <c r="Q9" i="3"/>
  <c r="S9" i="3"/>
  <c r="R9" i="3"/>
  <c r="T7" i="3"/>
  <c r="T8" i="3" s="1"/>
  <c r="V7" i="3"/>
  <c r="V8" i="3" s="1"/>
  <c r="P7" i="3"/>
  <c r="P8" i="3" s="1"/>
  <c r="AE14" i="3"/>
  <c r="X7" i="3" l="1"/>
  <c r="Y7" i="3"/>
  <c r="Y8" i="3" s="1"/>
  <c r="AE24" i="3"/>
  <c r="AF14" i="3"/>
  <c r="J276" i="3"/>
  <c r="J274" i="3"/>
  <c r="J277" i="3" l="1"/>
  <c r="J275" i="3"/>
  <c r="X8" i="3"/>
  <c r="AF16" i="3"/>
  <c r="AF15" i="3"/>
  <c r="L6" i="1"/>
  <c r="L5" i="1"/>
  <c r="L131" i="1"/>
  <c r="L130" i="1"/>
  <c r="L129" i="1"/>
  <c r="L127" i="1"/>
  <c r="L126" i="1"/>
  <c r="L125" i="1"/>
  <c r="L124" i="1"/>
  <c r="L122" i="1"/>
  <c r="L118" i="1"/>
  <c r="L117" i="1"/>
  <c r="L116" i="1"/>
  <c r="L115" i="1"/>
  <c r="L114" i="1"/>
  <c r="L113" i="1"/>
  <c r="L112" i="1"/>
  <c r="L111" i="1"/>
  <c r="L110" i="1"/>
  <c r="L109" i="1"/>
  <c r="L104" i="1"/>
  <c r="L103" i="1"/>
  <c r="L102" i="1"/>
  <c r="L101" i="1"/>
  <c r="L100" i="1"/>
  <c r="L99" i="1"/>
  <c r="L97" i="1"/>
  <c r="L96" i="1"/>
  <c r="L92" i="1"/>
  <c r="L91" i="1"/>
  <c r="L90" i="1"/>
  <c r="L89" i="1"/>
  <c r="L88" i="1"/>
  <c r="L87" i="1"/>
  <c r="L86" i="1"/>
  <c r="L85" i="1"/>
  <c r="L84" i="1"/>
  <c r="L83" i="1"/>
  <c r="L79" i="1"/>
  <c r="L78" i="1"/>
  <c r="L77" i="1"/>
  <c r="L76" i="1"/>
  <c r="L75" i="1"/>
  <c r="L74" i="1"/>
  <c r="L73" i="1"/>
  <c r="L72" i="1"/>
  <c r="L71" i="1"/>
  <c r="L70" i="1"/>
  <c r="L66" i="1"/>
  <c r="L65" i="1"/>
  <c r="L64" i="1"/>
  <c r="L63" i="1"/>
  <c r="L62" i="1"/>
  <c r="L61" i="1"/>
  <c r="L60" i="1"/>
  <c r="L59" i="1"/>
  <c r="L58" i="1"/>
  <c r="L57" i="1"/>
  <c r="L53" i="1"/>
  <c r="L52" i="1"/>
  <c r="L51" i="1"/>
  <c r="L50" i="1"/>
  <c r="L49" i="1"/>
  <c r="L48" i="1"/>
  <c r="L47" i="1"/>
  <c r="L46" i="1"/>
  <c r="L45" i="1"/>
  <c r="L44" i="1"/>
  <c r="L40" i="1"/>
  <c r="L39" i="1"/>
  <c r="L38" i="1"/>
  <c r="L37" i="1"/>
  <c r="L36" i="1"/>
  <c r="L35" i="1"/>
  <c r="L34" i="1"/>
  <c r="L33" i="1"/>
  <c r="L32" i="1"/>
  <c r="L31" i="1"/>
  <c r="L27" i="1"/>
  <c r="L26" i="1"/>
  <c r="L25" i="1"/>
  <c r="L24" i="1"/>
  <c r="L23" i="1"/>
  <c r="L22" i="1"/>
  <c r="L21" i="1"/>
  <c r="L20" i="1"/>
  <c r="L19" i="1"/>
  <c r="L18" i="1"/>
  <c r="L14" i="1"/>
  <c r="L13" i="1"/>
  <c r="L12" i="1"/>
  <c r="L11" i="1"/>
  <c r="L10" i="1"/>
  <c r="L8" i="1"/>
  <c r="L9" i="1"/>
  <c r="L7" i="1"/>
  <c r="E4" i="4" l="1"/>
  <c r="F4" i="4" s="1"/>
  <c r="D8" i="4" s="1"/>
  <c r="X9" i="3"/>
  <c r="J6" i="1"/>
  <c r="I5" i="1"/>
  <c r="D15" i="4" l="1"/>
  <c r="D10" i="4"/>
  <c r="D14" i="4"/>
  <c r="D13" i="4"/>
  <c r="Y10" i="3"/>
  <c r="P10" i="3"/>
  <c r="R10" i="3"/>
  <c r="U10" i="3"/>
  <c r="T10" i="3"/>
  <c r="Q10" i="3"/>
  <c r="W10" i="3"/>
  <c r="S10" i="3"/>
  <c r="V10" i="3"/>
  <c r="X10" i="3"/>
  <c r="Z14" i="3"/>
  <c r="Z15" i="3" s="1"/>
  <c r="Z16" i="3" l="1"/>
  <c r="AB14" i="3"/>
  <c r="AB15" i="3" s="1"/>
  <c r="AB16" i="3" s="1"/>
  <c r="AB17" i="3" s="1"/>
  <c r="AB18" i="3" s="1"/>
  <c r="AB19" i="3" s="1"/>
  <c r="AB20" i="3" s="1"/>
  <c r="AB21" i="3" s="1"/>
  <c r="AB22" i="3" s="1"/>
  <c r="AB23" i="3" s="1"/>
  <c r="AC15" i="3" l="1"/>
  <c r="AD15" i="3" s="1"/>
  <c r="Z17" i="3"/>
  <c r="AC16" i="3"/>
  <c r="AD16" i="3" s="1"/>
  <c r="AC14" i="3"/>
  <c r="AD14" i="3" s="1"/>
  <c r="Z18" i="3" l="1"/>
  <c r="AC17" i="3"/>
  <c r="AD17" i="3" s="1"/>
  <c r="AC18" i="3" l="1"/>
  <c r="AD18" i="3" s="1"/>
  <c r="Z19" i="3"/>
  <c r="Z20" i="3" l="1"/>
  <c r="AC19" i="3"/>
  <c r="AD19" i="3" s="1"/>
  <c r="Z21" i="3" l="1"/>
  <c r="AC20" i="3"/>
  <c r="AD20" i="3" s="1"/>
  <c r="Z22" i="3" l="1"/>
  <c r="AC21" i="3"/>
  <c r="AD21" i="3" s="1"/>
  <c r="Z23" i="3" l="1"/>
  <c r="AC23" i="3" s="1"/>
  <c r="AD23" i="3" s="1"/>
  <c r="AC22" i="3"/>
  <c r="AD22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<sst xmlns="http://schemas.openxmlformats.org/spreadsheetml/2006/main" count="249" uniqueCount="167">
  <si>
    <t>FMCG</t>
  </si>
  <si>
    <t>IT</t>
  </si>
  <si>
    <t>Banking &amp; Financials</t>
  </si>
  <si>
    <t>Auto</t>
  </si>
  <si>
    <t>Energy</t>
  </si>
  <si>
    <t>Infrastructure</t>
  </si>
  <si>
    <t>Metals</t>
  </si>
  <si>
    <t xml:space="preserve">SECTORS </t>
  </si>
  <si>
    <t>Hindustan Unilever</t>
  </si>
  <si>
    <t>ITC</t>
  </si>
  <si>
    <t>Nestlé India</t>
  </si>
  <si>
    <t>Varun Beverages</t>
  </si>
  <si>
    <t>Britannia Industries</t>
  </si>
  <si>
    <t>Godrej Consumer</t>
  </si>
  <si>
    <t>Tata Consumer Products</t>
  </si>
  <si>
    <t>United Spirits</t>
  </si>
  <si>
    <t>Marico</t>
  </si>
  <si>
    <t>Dabur India</t>
  </si>
  <si>
    <t>HDFC Bank</t>
  </si>
  <si>
    <t>ICICI Bank</t>
  </si>
  <si>
    <t>State Bank of India (SBI)</t>
  </si>
  <si>
    <t>Bajaj Finance</t>
  </si>
  <si>
    <t>Kotak Mahindra Bank</t>
  </si>
  <si>
    <t>Axis Bank</t>
  </si>
  <si>
    <t>Bajaj Finserv</t>
  </si>
  <si>
    <t>Jio Financial Services</t>
  </si>
  <si>
    <r>
      <t>SBI Life Insurance</t>
    </r>
    <r>
      <rPr>
        <sz val="11"/>
        <color theme="1"/>
        <rFont val="Calibri"/>
        <family val="2"/>
        <scheme val="minor"/>
      </rPr>
      <t xml:space="preserve"> </t>
    </r>
  </si>
  <si>
    <t>TCS (Tata Consultancy Services)</t>
  </si>
  <si>
    <t>Infosys</t>
  </si>
  <si>
    <t>HCL Technologies</t>
  </si>
  <si>
    <t>Wipro</t>
  </si>
  <si>
    <t>LTIMindtree</t>
  </si>
  <si>
    <t>Tech Mahindra</t>
  </si>
  <si>
    <t>Persistent Systems</t>
  </si>
  <si>
    <t>Oracle Financial Services Software (OFSS)</t>
  </si>
  <si>
    <t>Coforge</t>
  </si>
  <si>
    <t>Mphasis</t>
  </si>
  <si>
    <t>Sun Pharma Industries</t>
  </si>
  <si>
    <t>Divi’s Laboratories</t>
  </si>
  <si>
    <t>Torrent Pharma</t>
  </si>
  <si>
    <t>Cipla</t>
  </si>
  <si>
    <t>Dr. Reddy’s Laboratories</t>
  </si>
  <si>
    <t>Zydus Lifesciences</t>
  </si>
  <si>
    <t>Lupin</t>
  </si>
  <si>
    <t>Mankind Pharma</t>
  </si>
  <si>
    <t>Maruti Suzuki</t>
  </si>
  <si>
    <t>Mahindra &amp; Mahindra (M&amp;M)</t>
  </si>
  <si>
    <t>Bajaj Auto</t>
  </si>
  <si>
    <t>Eicher Motors</t>
  </si>
  <si>
    <t>Hyundai Motor India</t>
  </si>
  <si>
    <t>TVS Motor Company</t>
  </si>
  <si>
    <t>Tata Motors (Passenger Vehicles)</t>
  </si>
  <si>
    <t>Hero MotoCorp</t>
  </si>
  <si>
    <t>Samvardhana Motherson</t>
  </si>
  <si>
    <t>Bosch</t>
  </si>
  <si>
    <t>NTPC</t>
  </si>
  <si>
    <t>Adani Power</t>
  </si>
  <si>
    <t>Power Grid Corporation</t>
  </si>
  <si>
    <t>Adani Green</t>
  </si>
  <si>
    <t>Tata Power Company</t>
  </si>
  <si>
    <t>Adani Energy Solutions</t>
  </si>
  <si>
    <t>JSW Energy</t>
  </si>
  <si>
    <t>NTPC Green Energy</t>
  </si>
  <si>
    <t>NHPC</t>
  </si>
  <si>
    <t>Torrent Power</t>
  </si>
  <si>
    <t>Adani Enterprises</t>
  </si>
  <si>
    <t>JSW Steel</t>
  </si>
  <si>
    <t>Tata Steel</t>
  </si>
  <si>
    <t>Vedanta</t>
  </si>
  <si>
    <t>Hindustan Zinc</t>
  </si>
  <si>
    <t>Hindalco Industries</t>
  </si>
  <si>
    <t>Jindal Steel</t>
  </si>
  <si>
    <t>Lloyds Metals</t>
  </si>
  <si>
    <t>NMDC</t>
  </si>
  <si>
    <t>Jindal Stainless</t>
  </si>
  <si>
    <t>Larsen &amp; Toubro</t>
  </si>
  <si>
    <t>Rail Vikas</t>
  </si>
  <si>
    <t>NBCC</t>
  </si>
  <si>
    <t>IRB Infra. Devl.</t>
  </si>
  <si>
    <t>Kalpataru Proj.</t>
  </si>
  <si>
    <t>KEC International</t>
  </si>
  <si>
    <t>Ircon Intl.</t>
  </si>
  <si>
    <t>Afcons Infrastr.</t>
  </si>
  <si>
    <t>Techno Elec. Engg</t>
  </si>
  <si>
    <t>Cemindia Project</t>
  </si>
  <si>
    <t xml:space="preserve">Telecom </t>
  </si>
  <si>
    <t>Media</t>
  </si>
  <si>
    <t>Sun TV Network</t>
  </si>
  <si>
    <t>Prime Focus</t>
  </si>
  <si>
    <t>PVR Inox</t>
  </si>
  <si>
    <t>Nazara Technolo.</t>
  </si>
  <si>
    <t>Saregama India</t>
  </si>
  <si>
    <t>Netrwk.18 Media</t>
  </si>
  <si>
    <t>Tips Music</t>
  </si>
  <si>
    <t>D B Corp</t>
  </si>
  <si>
    <t>Bharti Airtel</t>
  </si>
  <si>
    <t>Vodafone Idea</t>
  </si>
  <si>
    <t>Indus Towers</t>
  </si>
  <si>
    <t>Bharti Hexacom</t>
  </si>
  <si>
    <t>Tata Comm</t>
  </si>
  <si>
    <t>Altius Telecom</t>
  </si>
  <si>
    <t>Railtel Corpn.</t>
  </si>
  <si>
    <t>HFCL</t>
  </si>
  <si>
    <t>P/E</t>
  </si>
  <si>
    <t>EV/EBITDA</t>
  </si>
  <si>
    <t>P/BV</t>
  </si>
  <si>
    <t>P/S</t>
  </si>
  <si>
    <t xml:space="preserve">CURRENT PRICE </t>
  </si>
  <si>
    <t>ROE</t>
  </si>
  <si>
    <t>Life Insurance Corporation of India</t>
  </si>
  <si>
    <t>Max Healthcare</t>
  </si>
  <si>
    <t xml:space="preserve">	Apollo Hospitals</t>
  </si>
  <si>
    <t xml:space="preserve">Pharma &amp; HEALTHCARE </t>
  </si>
  <si>
    <t>Jagran Prakashan Ltd</t>
  </si>
  <si>
    <t>Tejas Networks Ltd</t>
  </si>
  <si>
    <t>Valiant Communications Ltd</t>
  </si>
  <si>
    <t>Debt/Equity</t>
  </si>
  <si>
    <t>Interest Coverage</t>
  </si>
  <si>
    <t>PEG</t>
  </si>
  <si>
    <t>Div Yield</t>
  </si>
  <si>
    <t>ROCE</t>
  </si>
  <si>
    <t>-</t>
  </si>
  <si>
    <t>Zee Entertainment</t>
  </si>
  <si>
    <t>1,14</t>
  </si>
  <si>
    <t>Net Profit Margin</t>
  </si>
  <si>
    <t>Date</t>
  </si>
  <si>
    <t>Change %</t>
  </si>
  <si>
    <t>CEMI</t>
  </si>
  <si>
    <t>Annualised Return</t>
  </si>
  <si>
    <t>Return</t>
  </si>
  <si>
    <t>Risk</t>
  </si>
  <si>
    <t>Annualised Risk</t>
  </si>
  <si>
    <t>NIFTY</t>
  </si>
  <si>
    <t>Parameters</t>
  </si>
  <si>
    <t>Systematic Risk (Beta)</t>
  </si>
  <si>
    <t>Systematic Risk (Beta^2* Market Nifty)</t>
  </si>
  <si>
    <t>Unsystematic Risk</t>
  </si>
  <si>
    <t>Reward to Beta (Treynor Ratio)</t>
  </si>
  <si>
    <t>Rank</t>
  </si>
  <si>
    <t>(R-Rf)*Beta/unsystematic Risk</t>
  </si>
  <si>
    <t>Cumulative Beta</t>
  </si>
  <si>
    <t>Beta^2/Unsystematic Risk</t>
  </si>
  <si>
    <t>Cumulative</t>
  </si>
  <si>
    <t>C point</t>
  </si>
  <si>
    <t>Weights</t>
  </si>
  <si>
    <t>Stock</t>
  </si>
  <si>
    <t>NESTLE</t>
  </si>
  <si>
    <t>TCS</t>
  </si>
  <si>
    <t>LIC</t>
  </si>
  <si>
    <t xml:space="preserve">TORRENT </t>
  </si>
  <si>
    <t>HYUNDAI</t>
  </si>
  <si>
    <t>ADANI POWER</t>
  </si>
  <si>
    <t>HZNC</t>
  </si>
  <si>
    <t>TATA COMM</t>
  </si>
  <si>
    <t>DB Corp</t>
  </si>
  <si>
    <t>DB CORP</t>
  </si>
  <si>
    <t xml:space="preserve">Portfolio Return </t>
  </si>
  <si>
    <t>Portfolio RETURN</t>
  </si>
  <si>
    <t>PORTFOLIO RISK</t>
  </si>
  <si>
    <t>Portfolio RISK</t>
  </si>
  <si>
    <t>utility</t>
  </si>
  <si>
    <t xml:space="preserve">Reward to Beta </t>
  </si>
  <si>
    <t>Sharpe Ratio</t>
  </si>
  <si>
    <t>Treynor Ratio</t>
  </si>
  <si>
    <t>Alpha</t>
  </si>
  <si>
    <t>Unsystematic Beta</t>
  </si>
  <si>
    <t>Portfolio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</si>
</sst>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10" fontId="0" fillId="0" borderId="0" xfId="0" applyNumberFormat="1"/>
    <xf numFmtId="0" fontId="0" fillId="4" borderId="2" xfId="0" applyFill="1" applyBorder="1"/>
    <xf numFmtId="10" fontId="0" fillId="4" borderId="2" xfId="0" applyNumberFormat="1" applyFill="1" applyBorder="1"/>
    <xf numFmtId="10" fontId="0" fillId="4" borderId="3" xfId="0" applyNumberFormat="1" applyFill="1" applyBorder="1"/>
    <xf numFmtId="9" fontId="0" fillId="4" borderId="2" xfId="0" applyNumberForma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0" borderId="7" xfId="0" applyBorder="1"/>
    <xf numFmtId="10" fontId="0" fillId="0" borderId="0" xfId="1" applyNumberFormat="1" applyFont="1" applyBorder="1"/>
    <xf numFmtId="2" fontId="0" fillId="0" borderId="0" xfId="0" applyNumberFormat="1"/>
    <xf numFmtId="164" fontId="0" fillId="0" borderId="0" xfId="0" applyNumberFormat="1"/>
    <xf numFmtId="10" fontId="0" fillId="0" borderId="7" xfId="0" applyNumberFormat="1" applyBorder="1"/>
    <xf numFmtId="9" fontId="0" fillId="0" borderId="0" xfId="0" applyNumberFormat="1"/>
    <xf numFmtId="9" fontId="0" fillId="0" borderId="7" xfId="0" applyNumberFormat="1" applyBorder="1"/>
    <xf numFmtId="0" fontId="0" fillId="0" borderId="8" xfId="0" applyBorder="1"/>
    <xf numFmtId="10" fontId="0" fillId="0" borderId="8" xfId="0" applyNumberFormat="1" applyBorder="1"/>
    <xf numFmtId="10" fontId="0" fillId="0" borderId="9" xfId="0" applyNumberFormat="1" applyBorder="1"/>
    <xf numFmtId="0" fontId="2" fillId="3" borderId="10" xfId="0" applyFont="1" applyFill="1" applyBorder="1"/>
    <xf numFmtId="0" fontId="0" fillId="0" borderId="11" xfId="0" applyBorder="1"/>
    <xf numFmtId="0" fontId="2" fillId="2" borderId="12" xfId="0" applyFont="1" applyFill="1" applyBorder="1"/>
    <xf numFmtId="0" fontId="2" fillId="3" borderId="13" xfId="0" applyFont="1" applyFill="1" applyBorder="1"/>
    <xf numFmtId="0" fontId="0" fillId="0" borderId="14" xfId="0" applyBorder="1"/>
    <xf numFmtId="0" fontId="3" fillId="0" borderId="14" xfId="0" applyFont="1" applyBorder="1"/>
    <xf numFmtId="0" fontId="3" fillId="4" borderId="1" xfId="0" applyFont="1" applyFill="1" applyBorder="1"/>
    <xf numFmtId="0" fontId="3" fillId="0" borderId="15" xfId="0" applyFont="1" applyBorder="1"/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/>
    <xf numFmtId="0" fontId="0" fillId="4" borderId="2" xfId="0" applyFill="1" applyBorder="1" applyAlignment="1">
      <alignment horizontal="center"/>
    </xf>
    <xf numFmtId="0" fontId="0" fillId="0" borderId="15" xfId="0" applyBorder="1"/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1" fontId="0" fillId="0" borderId="0" xfId="0" applyNumberFormat="1"/>
    <xf numFmtId="0" fontId="3" fillId="0" borderId="11" xfId="0" applyFont="1" applyBorder="1"/>
    <xf numFmtId="0" fontId="3" fillId="4" borderId="3" xfId="0" applyFont="1" applyFill="1" applyBorder="1"/>
    <xf numFmtId="10" fontId="0" fillId="0" borderId="9" xfId="1" applyNumberFormat="1" applyFont="1" applyBorder="1"/>
    <xf numFmtId="0" fontId="3" fillId="4" borderId="2" xfId="0" applyFont="1" applyFill="1" applyBorder="1"/>
    <xf numFmtId="10" fontId="0" fillId="0" borderId="16" xfId="1" applyNumberFormat="1" applyFont="1" applyBorder="1"/>
    <xf numFmtId="10" fontId="0" fillId="0" borderId="17" xfId="1" applyNumberFormat="1" applyFont="1" applyBorder="1"/>
    <xf numFmtId="10" fontId="0" fillId="0" borderId="8" xfId="1" applyNumberFormat="1" applyFont="1" applyBorder="1"/>
    <xf numFmtId="0" fontId="3" fillId="5" borderId="1" xfId="0" applyFont="1" applyFill="1" applyBorder="1"/>
    <xf numFmtId="0" fontId="0" fillId="5" borderId="2" xfId="0" applyFill="1" applyBorder="1"/>
    <xf numFmtId="10" fontId="0" fillId="5" borderId="2" xfId="0" applyNumberFormat="1" applyFill="1" applyBorder="1"/>
    <xf numFmtId="10" fontId="0" fillId="5" borderId="3" xfId="0" applyNumberFormat="1" applyFill="1" applyBorder="1"/>
    <xf numFmtId="0" fontId="0" fillId="5" borderId="0" xfId="0" applyFill="1"/>
    <xf numFmtId="10" fontId="0" fillId="0" borderId="3" xfId="0" applyNumberFormat="1" applyBorder="1"/>
    <xf numFmtId="10" fontId="0" fillId="5" borderId="2" xfId="1" applyNumberFormat="1" applyFont="1" applyFill="1" applyBorder="1"/>
    <xf numFmtId="10" fontId="0" fillId="5" borderId="7" xfId="0" applyNumberFormat="1" applyFill="1" applyBorder="1"/>
    <xf numFmtId="9" fontId="0" fillId="5" borderId="2" xfId="0" applyNumberFormat="1" applyFill="1" applyBorder="1"/>
    <xf numFmtId="9" fontId="0" fillId="5" borderId="3" xfId="0" applyNumberFormat="1" applyFill="1" applyBorder="1"/>
    <xf numFmtId="9" fontId="0" fillId="4" borderId="1" xfId="0" applyNumberFormat="1" applyFill="1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11" xfId="1" applyNumberFormat="1" applyFont="1" applyBorder="1"/>
    <xf numFmtId="0" fontId="0" fillId="0" borderId="14" xfId="1" applyNumberFormat="1" applyFont="1" applyBorder="1"/>
    <xf numFmtId="0" fontId="0" fillId="0" borderId="15" xfId="1" applyNumberFormat="1" applyFont="1" applyBorder="1"/>
    <xf numFmtId="10" fontId="0" fillId="0" borderId="14" xfId="0" applyNumberFormat="1" applyBorder="1"/>
    <xf numFmtId="1" fontId="0" fillId="0" borderId="14" xfId="0" applyNumberFormat="1" applyBorder="1"/>
    <xf numFmtId="14" fontId="0" fillId="0" borderId="0" xfId="0" applyNumberFormat="1"/>
    <xf numFmtId="0" fontId="3" fillId="4" borderId="1" xfId="0" applyFont="1" applyFill="1" applyBorder="1" applyAlignment="1">
      <alignment horizontal="center"/>
    </xf>
    <xf numFmtId="0" fontId="0" fillId="4" borderId="11" xfId="0" applyFill="1" applyBorder="1"/>
    <xf numFmtId="0" fontId="0" fillId="4" borderId="14" xfId="0" applyFill="1" applyBorder="1"/>
    <xf numFmtId="0" fontId="0" fillId="4" borderId="15" xfId="0" applyFill="1" applyBorder="1"/>
    <xf numFmtId="0" fontId="3" fillId="0" borderId="18" xfId="0" applyFont="1" applyBorder="1"/>
    <xf numFmtId="10" fontId="0" fillId="0" borderId="1" xfId="0" applyNumberFormat="1" applyBorder="1"/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10" fontId="0" fillId="0" borderId="1" xfId="1" applyNumberFormat="1" applyFont="1" applyBorder="1"/>
    <xf numFmtId="0" fontId="0" fillId="0" borderId="1" xfId="0" applyBorder="1"/>
    <xf numFmtId="167" fontId="0" fillId="0" borderId="0" xfId="0" applyNumberFormat="1"/>
    <xf numFmtId="167" fontId="0" fillId="0" borderId="25" xfId="0" applyNumberForma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167" fontId="0" fillId="0" borderId="23" xfId="0" applyNumberFormat="1" applyBorder="1"/>
    <xf numFmtId="167" fontId="0" fillId="0" borderId="24" xfId="0" applyNumberFormat="1" applyBorder="1"/>
    <xf numFmtId="0" fontId="3" fillId="4" borderId="18" xfId="0" applyFont="1" applyFill="1" applyBorder="1"/>
    <xf numFmtId="0" fontId="3" fillId="4" borderId="26" xfId="0" applyFont="1" applyFill="1" applyBorder="1"/>
    <xf numFmtId="0" fontId="0" fillId="0" borderId="27" xfId="0" applyBorder="1"/>
    <xf numFmtId="0" fontId="0" fillId="0" borderId="29" xfId="0" applyBorder="1"/>
    <xf numFmtId="164" fontId="0" fillId="0" borderId="1" xfId="0" applyNumberFormat="1" applyBorder="1"/>
    <xf numFmtId="0" fontId="0" fillId="0" borderId="9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0" fontId="0" fillId="0" borderId="32" xfId="0" applyBorder="1"/>
    <xf numFmtId="0" fontId="0" fillId="0" borderId="3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4D5D-EB3A-4AC6-9974-8B75A344702A}">
  <dimension ref="A1:N131"/>
  <sheetViews>
    <sheetView topLeftCell="B1" zoomScale="68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3.81640625" customWidth="1"/>
    <col min="2" max="2" width="46.7265625" bestFit="1" customWidth="1"/>
    <col min="4" max="4" width="10.1796875" bestFit="1" customWidth="1"/>
    <col min="6" max="6" width="14.81640625" bestFit="1" customWidth="1"/>
    <col min="8" max="8" width="10" bestFit="1" customWidth="1"/>
    <col min="9" max="9" width="12" customWidth="1"/>
    <col min="10" max="10" width="16.453125" customWidth="1"/>
    <col min="11" max="11" width="16" customWidth="1"/>
  </cols>
  <sheetData>
    <row r="1" spans="2:14" ht="15" thickBot="1" x14ac:dyDescent="0.4">
      <c r="B1" s="20"/>
      <c r="C1" s="19" t="s">
        <v>103</v>
      </c>
      <c r="D1" s="6" t="s">
        <v>104</v>
      </c>
      <c r="E1" s="6" t="s">
        <v>105</v>
      </c>
      <c r="F1" s="6" t="s">
        <v>107</v>
      </c>
      <c r="G1" s="6" t="s">
        <v>106</v>
      </c>
      <c r="H1" s="7" t="s">
        <v>108</v>
      </c>
      <c r="I1" s="6" t="s">
        <v>116</v>
      </c>
      <c r="J1" s="6" t="s">
        <v>117</v>
      </c>
      <c r="K1" s="6" t="s">
        <v>124</v>
      </c>
      <c r="L1" s="6" t="s">
        <v>118</v>
      </c>
      <c r="M1" s="6" t="s">
        <v>119</v>
      </c>
      <c r="N1" s="8" t="s">
        <v>120</v>
      </c>
    </row>
    <row r="2" spans="2:14" ht="15.5" thickTop="1" thickBot="1" x14ac:dyDescent="0.4">
      <c r="B2" s="21" t="s">
        <v>7</v>
      </c>
      <c r="N2" s="9"/>
    </row>
    <row r="3" spans="2:14" ht="15.5" thickTop="1" thickBot="1" x14ac:dyDescent="0.4">
      <c r="B3" s="22" t="s">
        <v>0</v>
      </c>
      <c r="N3" s="9"/>
    </row>
    <row r="4" spans="2:14" ht="2.15" customHeight="1" thickTop="1" x14ac:dyDescent="0.35">
      <c r="B4" s="23"/>
      <c r="N4" s="9"/>
    </row>
    <row r="5" spans="2:14" ht="15" thickBot="1" x14ac:dyDescent="0.4">
      <c r="B5" s="24" t="s">
        <v>8</v>
      </c>
      <c r="C5">
        <v>54.5</v>
      </c>
      <c r="D5">
        <v>36.700000000000003</v>
      </c>
      <c r="E5">
        <v>11.8</v>
      </c>
      <c r="F5">
        <v>2457</v>
      </c>
      <c r="G5">
        <v>8.99</v>
      </c>
      <c r="H5" s="10">
        <v>0.20699999999999999</v>
      </c>
      <c r="I5" s="11">
        <f>30461/49402</f>
        <v>0.61659446985951982</v>
      </c>
      <c r="J5" s="12">
        <v>36</v>
      </c>
      <c r="K5">
        <v>0.17</v>
      </c>
      <c r="L5" s="11">
        <f>C5/(-0.17*H5)</f>
        <v>-1548.7354362034669</v>
      </c>
      <c r="M5" s="1">
        <v>1.7399999999999999E-2</v>
      </c>
      <c r="N5" s="13">
        <v>0.27800000000000002</v>
      </c>
    </row>
    <row r="6" spans="2:14" ht="15" thickBot="1" x14ac:dyDescent="0.4">
      <c r="B6" s="43" t="s">
        <v>9</v>
      </c>
      <c r="C6" s="44">
        <v>25.1</v>
      </c>
      <c r="D6" s="44">
        <v>17.2</v>
      </c>
      <c r="E6" s="44">
        <v>7.09</v>
      </c>
      <c r="F6" s="44">
        <v>403</v>
      </c>
      <c r="G6" s="44">
        <v>6.43</v>
      </c>
      <c r="H6" s="49">
        <v>0.27300000000000002</v>
      </c>
      <c r="I6" s="44">
        <v>0.28000000000000003</v>
      </c>
      <c r="J6" s="44">
        <f>492.58</f>
        <v>492.58</v>
      </c>
      <c r="K6" s="44">
        <v>0.45</v>
      </c>
      <c r="L6" s="44">
        <f>C6/(48%*H6)</f>
        <v>191.54456654456652</v>
      </c>
      <c r="M6" s="45">
        <v>3.5499999999999997E-2</v>
      </c>
      <c r="N6" s="46">
        <v>0.3679</v>
      </c>
    </row>
    <row r="7" spans="2:14" ht="15" thickBot="1" x14ac:dyDescent="0.4">
      <c r="B7" s="25" t="s">
        <v>10</v>
      </c>
      <c r="C7" s="2">
        <v>82.1</v>
      </c>
      <c r="D7" s="2">
        <v>50.8</v>
      </c>
      <c r="E7" s="2">
        <v>53.9</v>
      </c>
      <c r="F7" s="2">
        <v>1275</v>
      </c>
      <c r="G7" s="2">
        <v>11.7</v>
      </c>
      <c r="H7" s="5">
        <v>0.83</v>
      </c>
      <c r="I7" s="2">
        <v>1.99</v>
      </c>
      <c r="J7" s="2">
        <v>32.86</v>
      </c>
      <c r="K7" s="2">
        <v>0.14000000000000001</v>
      </c>
      <c r="L7" s="2">
        <f>C7/(H7*21%)</f>
        <v>471.02696500286862</v>
      </c>
      <c r="M7" s="3">
        <v>1.0699999999999999E-2</v>
      </c>
      <c r="N7" s="4">
        <v>0.95699999999999996</v>
      </c>
    </row>
    <row r="8" spans="2:14" x14ac:dyDescent="0.35">
      <c r="B8" s="24" t="s">
        <v>11</v>
      </c>
      <c r="C8">
        <v>53</v>
      </c>
      <c r="D8">
        <v>29.8</v>
      </c>
      <c r="E8">
        <v>8.56</v>
      </c>
      <c r="F8">
        <v>466</v>
      </c>
      <c r="G8">
        <v>7.44</v>
      </c>
      <c r="H8" s="1">
        <v>0.22500000000000001</v>
      </c>
      <c r="I8">
        <v>0.34599999999999997</v>
      </c>
      <c r="J8">
        <v>26.44</v>
      </c>
      <c r="K8">
        <v>0.14000000000000001</v>
      </c>
      <c r="L8">
        <f>C8/(H8*87%)</f>
        <v>270.75351213282249</v>
      </c>
      <c r="M8" s="1">
        <v>2.0999999999999999E-3</v>
      </c>
      <c r="N8" s="13">
        <v>0.248</v>
      </c>
    </row>
    <row r="9" spans="2:14" x14ac:dyDescent="0.35">
      <c r="B9" s="24" t="s">
        <v>12</v>
      </c>
      <c r="C9">
        <v>61</v>
      </c>
      <c r="D9">
        <v>39.9</v>
      </c>
      <c r="E9">
        <v>37.799999999999997</v>
      </c>
      <c r="F9">
        <v>5860</v>
      </c>
      <c r="G9">
        <v>7.63</v>
      </c>
      <c r="H9" s="1">
        <v>0.52900000000000003</v>
      </c>
      <c r="I9">
        <v>1.53</v>
      </c>
      <c r="J9">
        <v>26.84</v>
      </c>
      <c r="K9">
        <v>0.125</v>
      </c>
      <c r="L9">
        <f>C9/(H9*17%)</f>
        <v>678.30534860447005</v>
      </c>
      <c r="M9" s="1">
        <v>1.2800000000000001E-2</v>
      </c>
      <c r="N9" s="13">
        <v>0.52990000000000004</v>
      </c>
    </row>
    <row r="10" spans="2:14" x14ac:dyDescent="0.35">
      <c r="B10" s="24" t="s">
        <v>13</v>
      </c>
      <c r="C10">
        <v>62.4</v>
      </c>
      <c r="D10">
        <v>37.1</v>
      </c>
      <c r="E10">
        <v>9.64</v>
      </c>
      <c r="F10">
        <v>1147</v>
      </c>
      <c r="G10">
        <v>7.9</v>
      </c>
      <c r="H10" s="1">
        <v>0.152</v>
      </c>
      <c r="I10">
        <v>0.64</v>
      </c>
      <c r="J10">
        <v>9.3650000000000002</v>
      </c>
      <c r="K10">
        <v>0.12</v>
      </c>
      <c r="L10">
        <f>C10/(H10*-0.38)</f>
        <v>-1080.3324099722993</v>
      </c>
      <c r="M10" s="1">
        <v>1.3100000000000001E-2</v>
      </c>
      <c r="N10" s="13">
        <v>0.192</v>
      </c>
    </row>
    <row r="11" spans="2:14" x14ac:dyDescent="0.35">
      <c r="B11" s="24" t="s">
        <v>14</v>
      </c>
      <c r="C11">
        <v>11</v>
      </c>
      <c r="D11">
        <v>44.5</v>
      </c>
      <c r="E11">
        <v>5.72</v>
      </c>
      <c r="F11">
        <v>1184</v>
      </c>
      <c r="G11">
        <v>6.24</v>
      </c>
      <c r="H11" s="1">
        <v>7.0099999999999996E-2</v>
      </c>
      <c r="I11">
        <v>0.57599999999999996</v>
      </c>
      <c r="J11">
        <v>18.600000000000001</v>
      </c>
      <c r="K11">
        <v>7.2999999999999995E-2</v>
      </c>
      <c r="L11">
        <f>C11/(36%*H11)</f>
        <v>435.88524330321764</v>
      </c>
      <c r="M11" s="1">
        <v>7.0000000000000001E-3</v>
      </c>
      <c r="N11" s="13">
        <v>9.1600000000000001E-2</v>
      </c>
    </row>
    <row r="12" spans="2:14" x14ac:dyDescent="0.35">
      <c r="B12" s="24" t="s">
        <v>15</v>
      </c>
      <c r="C12">
        <v>61.6</v>
      </c>
      <c r="D12">
        <v>38.4</v>
      </c>
      <c r="E12">
        <v>12.6</v>
      </c>
      <c r="F12">
        <v>1451</v>
      </c>
      <c r="G12">
        <v>8.34</v>
      </c>
      <c r="H12" s="1">
        <v>0.19699999999999998</v>
      </c>
      <c r="I12">
        <v>0.6</v>
      </c>
      <c r="J12">
        <v>23.25</v>
      </c>
      <c r="K12">
        <v>0.129</v>
      </c>
      <c r="L12">
        <f>C12/(H12*45%)</f>
        <v>694.86745628877611</v>
      </c>
      <c r="M12" s="1">
        <v>8.3000000000000001E-3</v>
      </c>
      <c r="N12" s="13">
        <v>0.26500000000000001</v>
      </c>
    </row>
    <row r="13" spans="2:14" x14ac:dyDescent="0.35">
      <c r="B13" s="24" t="s">
        <v>16</v>
      </c>
      <c r="C13">
        <v>56.5</v>
      </c>
      <c r="D13">
        <v>39.299999999999997</v>
      </c>
      <c r="E13">
        <v>23.2</v>
      </c>
      <c r="F13">
        <v>725</v>
      </c>
      <c r="G13">
        <v>7.67</v>
      </c>
      <c r="H13" s="1">
        <v>0.41299999999999998</v>
      </c>
      <c r="I13">
        <v>1.1399999999999999</v>
      </c>
      <c r="J13">
        <v>50.94</v>
      </c>
      <c r="K13">
        <v>0.13800000000000001</v>
      </c>
      <c r="L13">
        <f>C13/(H13*17%)</f>
        <v>804.72867112946881</v>
      </c>
      <c r="M13" s="1">
        <v>1.46E-2</v>
      </c>
      <c r="N13" s="13">
        <v>0.45200000000000001</v>
      </c>
    </row>
    <row r="14" spans="2:14" x14ac:dyDescent="0.35">
      <c r="B14" s="24" t="s">
        <v>17</v>
      </c>
      <c r="C14">
        <v>50.8</v>
      </c>
      <c r="D14">
        <v>31.7</v>
      </c>
      <c r="E14">
        <v>8.3800000000000008</v>
      </c>
      <c r="F14">
        <v>518</v>
      </c>
      <c r="G14">
        <v>7.19</v>
      </c>
      <c r="H14" s="14">
        <v>0.17</v>
      </c>
      <c r="I14">
        <v>0.52</v>
      </c>
      <c r="J14">
        <v>17.84</v>
      </c>
      <c r="K14">
        <v>0.13900000000000001</v>
      </c>
      <c r="L14">
        <f>C14/(20%*H14)</f>
        <v>1494.1176470588234</v>
      </c>
      <c r="M14" s="1">
        <v>1.55E-2</v>
      </c>
      <c r="N14" s="13">
        <v>0.20200000000000001</v>
      </c>
    </row>
    <row r="15" spans="2:14" ht="3" customHeight="1" thickBot="1" x14ac:dyDescent="0.4">
      <c r="B15" s="23"/>
      <c r="N15" s="9"/>
    </row>
    <row r="16" spans="2:14" ht="15.5" thickTop="1" thickBot="1" x14ac:dyDescent="0.4">
      <c r="B16" s="22" t="s">
        <v>1</v>
      </c>
      <c r="N16" s="9"/>
    </row>
    <row r="17" spans="1:14" ht="2.15" customHeight="1" thickTop="1" thickBot="1" x14ac:dyDescent="0.4">
      <c r="B17" s="23"/>
      <c r="N17" s="9"/>
    </row>
    <row r="18" spans="1:14" ht="15" thickBot="1" x14ac:dyDescent="0.4">
      <c r="B18" s="25" t="s">
        <v>27</v>
      </c>
      <c r="C18" s="2">
        <v>22.67</v>
      </c>
      <c r="D18" s="2">
        <v>15.4</v>
      </c>
      <c r="E18" s="2">
        <v>10.8</v>
      </c>
      <c r="F18" s="2">
        <v>3152</v>
      </c>
      <c r="G18" s="2">
        <v>4.43</v>
      </c>
      <c r="H18" s="3">
        <v>0.52400000000000002</v>
      </c>
      <c r="I18" s="2">
        <v>0.65</v>
      </c>
      <c r="J18" s="2">
        <v>84.06</v>
      </c>
      <c r="K18" s="2">
        <v>0.19</v>
      </c>
      <c r="L18" s="2">
        <f>C18/(6%*H18)</f>
        <v>721.05597964376591</v>
      </c>
      <c r="M18" s="3">
        <v>1.9099999999999999E-2</v>
      </c>
      <c r="N18" s="4">
        <v>0.64600000000000002</v>
      </c>
    </row>
    <row r="19" spans="1:14" ht="15" thickBot="1" x14ac:dyDescent="0.4">
      <c r="B19" s="43" t="s">
        <v>28</v>
      </c>
      <c r="C19" s="44">
        <v>23.1</v>
      </c>
      <c r="D19" s="44">
        <v>14</v>
      </c>
      <c r="E19" s="44">
        <v>6.27</v>
      </c>
      <c r="F19" s="44">
        <v>1561</v>
      </c>
      <c r="G19" s="44">
        <v>3.83</v>
      </c>
      <c r="H19" s="45">
        <v>0.28799999999999998</v>
      </c>
      <c r="I19" s="44">
        <v>0.55000000000000004</v>
      </c>
      <c r="J19" s="44">
        <v>109.4</v>
      </c>
      <c r="K19" s="44">
        <v>0.16600000000000001</v>
      </c>
      <c r="L19" s="44">
        <f>C19/(33%*H19)</f>
        <v>243.05555555555557</v>
      </c>
      <c r="M19" s="45">
        <v>2.76E-2</v>
      </c>
      <c r="N19" s="46">
        <v>0.375</v>
      </c>
    </row>
    <row r="20" spans="1:14" x14ac:dyDescent="0.35">
      <c r="B20" s="24" t="s">
        <v>29</v>
      </c>
      <c r="C20">
        <v>26</v>
      </c>
      <c r="D20">
        <v>15.3</v>
      </c>
      <c r="E20">
        <v>6.17</v>
      </c>
      <c r="F20">
        <v>1624</v>
      </c>
      <c r="G20">
        <v>3.6</v>
      </c>
      <c r="H20" s="14">
        <v>0.25</v>
      </c>
      <c r="I20">
        <v>0.52300000000000002</v>
      </c>
      <c r="J20">
        <v>40.4</v>
      </c>
      <c r="K20">
        <v>0.14000000000000001</v>
      </c>
      <c r="L20">
        <f>C20/(H20*6%)</f>
        <v>1733.3333333333335</v>
      </c>
      <c r="M20" s="1">
        <v>3.32E-2</v>
      </c>
      <c r="N20" s="13">
        <v>0.316</v>
      </c>
    </row>
    <row r="21" spans="1:14" x14ac:dyDescent="0.35">
      <c r="B21" s="24" t="s">
        <v>30</v>
      </c>
      <c r="C21">
        <v>19.399999999999999</v>
      </c>
      <c r="D21">
        <v>12</v>
      </c>
      <c r="E21">
        <v>3.04</v>
      </c>
      <c r="F21">
        <v>250</v>
      </c>
      <c r="G21">
        <v>2.92</v>
      </c>
      <c r="H21" s="1">
        <v>0.16600000000000001</v>
      </c>
      <c r="I21">
        <v>0.53</v>
      </c>
      <c r="J21">
        <v>13.57</v>
      </c>
      <c r="K21">
        <v>0.15</v>
      </c>
      <c r="L21">
        <f>C21/(52%*H21)</f>
        <v>224.74513438368857</v>
      </c>
      <c r="M21" s="1">
        <v>2.4E-2</v>
      </c>
      <c r="N21" s="13">
        <v>0.19500000000000001</v>
      </c>
    </row>
    <row r="22" spans="1:14" x14ac:dyDescent="0.35">
      <c r="B22" s="24" t="s">
        <v>31</v>
      </c>
      <c r="C22">
        <v>36.200000000000003</v>
      </c>
      <c r="D22">
        <v>22.1</v>
      </c>
      <c r="E22">
        <v>7.55</v>
      </c>
      <c r="F22">
        <v>5938</v>
      </c>
      <c r="G22">
        <v>4.4400000000000004</v>
      </c>
      <c r="H22" s="1">
        <v>0.215</v>
      </c>
      <c r="I22">
        <v>0.39</v>
      </c>
      <c r="J22">
        <v>28.19</v>
      </c>
      <c r="K22">
        <v>0.12</v>
      </c>
      <c r="L22">
        <f>C22/(58%*H22)</f>
        <v>290.29671210906179</v>
      </c>
      <c r="M22" s="1">
        <v>1.0699999999999999E-2</v>
      </c>
      <c r="N22" s="13">
        <v>0.27600000000000002</v>
      </c>
    </row>
    <row r="23" spans="1:14" x14ac:dyDescent="0.35">
      <c r="B23" s="24" t="s">
        <v>32</v>
      </c>
      <c r="C23">
        <v>33.1</v>
      </c>
      <c r="D23">
        <v>17.8</v>
      </c>
      <c r="E23">
        <v>5.39</v>
      </c>
      <c r="F23">
        <v>1515</v>
      </c>
      <c r="G23">
        <v>2.75</v>
      </c>
      <c r="H23" s="1">
        <v>0.14599999999999999</v>
      </c>
      <c r="I23">
        <v>0.67</v>
      </c>
      <c r="J23">
        <v>30.37</v>
      </c>
      <c r="K23">
        <v>8.3000000000000004E-2</v>
      </c>
      <c r="L23">
        <f>C23/(H23*6%)</f>
        <v>3778.5388127853889</v>
      </c>
      <c r="M23" s="1">
        <v>2.9700000000000001E-2</v>
      </c>
      <c r="N23" s="13">
        <v>0.186</v>
      </c>
    </row>
    <row r="24" spans="1:14" x14ac:dyDescent="0.35">
      <c r="B24" s="24" t="s">
        <v>33</v>
      </c>
      <c r="C24">
        <v>60.8</v>
      </c>
      <c r="D24">
        <v>38.9</v>
      </c>
      <c r="E24">
        <v>14</v>
      </c>
      <c r="F24">
        <v>6417</v>
      </c>
      <c r="G24">
        <v>7.66</v>
      </c>
      <c r="H24" s="1">
        <v>0.24099999999999999</v>
      </c>
      <c r="I24">
        <v>0.38</v>
      </c>
      <c r="J24">
        <v>40.18</v>
      </c>
      <c r="K24">
        <v>0.126</v>
      </c>
      <c r="L24">
        <f>C24/(61%*H24)</f>
        <v>413.57730766614515</v>
      </c>
      <c r="M24" s="1">
        <v>5.4999999999999997E-3</v>
      </c>
      <c r="N24" s="13">
        <v>0.30399999999999999</v>
      </c>
    </row>
    <row r="25" spans="1:14" x14ac:dyDescent="0.35">
      <c r="B25" s="24" t="s">
        <v>34</v>
      </c>
      <c r="C25">
        <v>29.9</v>
      </c>
      <c r="D25">
        <v>19.600000000000001</v>
      </c>
      <c r="E25">
        <v>9.6199999999999992</v>
      </c>
      <c r="F25">
        <v>8153</v>
      </c>
      <c r="G25">
        <v>10</v>
      </c>
      <c r="H25" s="1">
        <v>0.29299999999999998</v>
      </c>
      <c r="I25">
        <v>0.26300000000000001</v>
      </c>
      <c r="J25">
        <v>-393.5</v>
      </c>
      <c r="K25">
        <v>0.34</v>
      </c>
      <c r="L25">
        <f>C25/(3%*H25)</f>
        <v>3401.5927189988624</v>
      </c>
      <c r="M25" s="1">
        <v>3.27E-2</v>
      </c>
      <c r="N25" s="13">
        <v>0.40600000000000003</v>
      </c>
    </row>
    <row r="26" spans="1:14" x14ac:dyDescent="0.35">
      <c r="B26" s="24" t="s">
        <v>35</v>
      </c>
      <c r="C26">
        <v>56.2</v>
      </c>
      <c r="D26">
        <v>26.7</v>
      </c>
      <c r="E26">
        <v>9.26</v>
      </c>
      <c r="F26">
        <v>1910</v>
      </c>
      <c r="G26">
        <v>4.46</v>
      </c>
      <c r="H26" s="14">
        <v>0.16</v>
      </c>
      <c r="I26">
        <v>0.97</v>
      </c>
      <c r="J26">
        <v>17.88</v>
      </c>
      <c r="K26">
        <v>9.4E-2</v>
      </c>
      <c r="L26">
        <f>C26/(37%*H26)</f>
        <v>949.32432432432438</v>
      </c>
      <c r="M26" s="1">
        <v>8.0000000000000002E-3</v>
      </c>
      <c r="N26" s="13">
        <v>0.20300000000000001</v>
      </c>
    </row>
    <row r="27" spans="1:14" x14ac:dyDescent="0.35">
      <c r="B27" s="24" t="s">
        <v>36</v>
      </c>
      <c r="C27">
        <v>29.9</v>
      </c>
      <c r="D27">
        <v>17.399999999999999</v>
      </c>
      <c r="E27">
        <v>5.57</v>
      </c>
      <c r="F27">
        <v>2801</v>
      </c>
      <c r="G27">
        <v>3.58</v>
      </c>
      <c r="H27" s="1">
        <v>0.182</v>
      </c>
      <c r="I27">
        <v>0.69</v>
      </c>
      <c r="J27">
        <v>20.7</v>
      </c>
      <c r="K27">
        <v>0.12</v>
      </c>
      <c r="L27">
        <f>C27/(36%*H27)</f>
        <v>456.34920634920638</v>
      </c>
      <c r="M27" s="1">
        <v>2.0299999999999999E-2</v>
      </c>
      <c r="N27" s="13">
        <v>0.22700000000000001</v>
      </c>
    </row>
    <row r="28" spans="1:14" ht="3" customHeight="1" thickBot="1" x14ac:dyDescent="0.4">
      <c r="B28" s="23"/>
      <c r="N28" s="9"/>
    </row>
    <row r="29" spans="1:14" ht="15.5" thickTop="1" thickBot="1" x14ac:dyDescent="0.4">
      <c r="B29" s="22" t="s">
        <v>2</v>
      </c>
      <c r="N29" s="9"/>
    </row>
    <row r="30" spans="1:14" ht="1.5" customHeight="1" thickTop="1" x14ac:dyDescent="0.35">
      <c r="B30" s="23"/>
      <c r="N30" s="9"/>
    </row>
    <row r="31" spans="1:14" ht="15" thickBot="1" x14ac:dyDescent="0.4">
      <c r="B31" s="24" t="s">
        <v>18</v>
      </c>
      <c r="C31">
        <v>21.5</v>
      </c>
      <c r="D31">
        <v>16.899999999999999</v>
      </c>
      <c r="E31">
        <v>2.86</v>
      </c>
      <c r="F31">
        <v>1012</v>
      </c>
      <c r="G31">
        <v>4.5</v>
      </c>
      <c r="H31" s="1">
        <v>0.14399999999999999</v>
      </c>
      <c r="I31">
        <v>7.37</v>
      </c>
      <c r="J31">
        <v>0.78</v>
      </c>
      <c r="K31">
        <v>0.22</v>
      </c>
      <c r="L31">
        <f>C31/(76%*H31)</f>
        <v>196.45467836257311</v>
      </c>
      <c r="M31" s="1">
        <v>1.09E-2</v>
      </c>
      <c r="N31" s="13">
        <v>7.51E-2</v>
      </c>
    </row>
    <row r="32" spans="1:14" ht="15" thickBot="1" x14ac:dyDescent="0.4">
      <c r="A32" s="47"/>
      <c r="B32" s="43" t="s">
        <v>19</v>
      </c>
      <c r="C32" s="44">
        <v>18.600000000000001</v>
      </c>
      <c r="D32" s="44">
        <v>16.600000000000001</v>
      </c>
      <c r="E32" s="44">
        <v>2.97</v>
      </c>
      <c r="F32" s="44">
        <v>1387</v>
      </c>
      <c r="G32" s="44">
        <v>5.15</v>
      </c>
      <c r="H32" s="45">
        <v>0.17899999999999999</v>
      </c>
      <c r="I32" s="44">
        <v>7.06</v>
      </c>
      <c r="J32" s="44">
        <v>0.6</v>
      </c>
      <c r="K32" s="44">
        <v>0.29599999999999999</v>
      </c>
      <c r="L32" s="44">
        <f>C32/(85%*H32)</f>
        <v>122.24778179428199</v>
      </c>
      <c r="M32" s="45">
        <v>7.9000000000000008E-3</v>
      </c>
      <c r="N32" s="46">
        <v>7.8700000000000006E-2</v>
      </c>
    </row>
    <row r="33" spans="2:14" x14ac:dyDescent="0.35">
      <c r="B33" s="24" t="s">
        <v>20</v>
      </c>
      <c r="C33">
        <v>11.5</v>
      </c>
      <c r="D33">
        <v>16.5</v>
      </c>
      <c r="E33">
        <v>1.61</v>
      </c>
      <c r="F33">
        <v>975</v>
      </c>
      <c r="G33">
        <v>1.78</v>
      </c>
      <c r="H33" s="1">
        <v>0.17199999999999999</v>
      </c>
      <c r="I33">
        <v>12.48</v>
      </c>
      <c r="J33">
        <v>0.75</v>
      </c>
      <c r="K33">
        <v>0.16600000000000001</v>
      </c>
      <c r="L33">
        <f>C33/(82%*H33)</f>
        <v>81.537152580828149</v>
      </c>
      <c r="M33" s="1">
        <v>1.6199999999999999E-2</v>
      </c>
      <c r="N33" s="13">
        <v>6.4699999999999994E-2</v>
      </c>
    </row>
    <row r="34" spans="2:14" ht="15" thickBot="1" x14ac:dyDescent="0.4">
      <c r="B34" s="24" t="s">
        <v>21</v>
      </c>
      <c r="C34">
        <v>35.299999999999997</v>
      </c>
      <c r="D34">
        <v>19.8</v>
      </c>
      <c r="E34">
        <v>6.24</v>
      </c>
      <c r="F34">
        <v>1040</v>
      </c>
      <c r="G34">
        <v>8.5</v>
      </c>
      <c r="H34" s="1">
        <v>0.192</v>
      </c>
      <c r="I34">
        <v>3.94</v>
      </c>
      <c r="J34">
        <v>1.98</v>
      </c>
      <c r="K34">
        <v>0.24</v>
      </c>
      <c r="L34">
        <f>C34/(79%*H34)</f>
        <v>232.72679324894511</v>
      </c>
      <c r="M34" s="1">
        <v>4.1999999999999997E-3</v>
      </c>
      <c r="N34" s="13">
        <v>0.114</v>
      </c>
    </row>
    <row r="35" spans="2:14" ht="15" thickBot="1" x14ac:dyDescent="0.4">
      <c r="B35" s="25" t="s">
        <v>109</v>
      </c>
      <c r="C35" s="2">
        <v>11.1</v>
      </c>
      <c r="D35" s="2">
        <v>8.94</v>
      </c>
      <c r="E35" s="2">
        <v>4</v>
      </c>
      <c r="F35" s="2">
        <v>895</v>
      </c>
      <c r="G35" s="2">
        <v>0.62</v>
      </c>
      <c r="H35" s="3">
        <v>0.45700000000000002</v>
      </c>
      <c r="I35" s="2">
        <v>40.65</v>
      </c>
      <c r="J35" s="2" t="s">
        <v>121</v>
      </c>
      <c r="K35" s="2">
        <v>0.06</v>
      </c>
      <c r="L35" s="2">
        <f>C35/(84%*H35)</f>
        <v>28.9152860268834</v>
      </c>
      <c r="M35" s="3">
        <v>1.34E-2</v>
      </c>
      <c r="N35" s="4">
        <v>0.53100000000000003</v>
      </c>
    </row>
    <row r="36" spans="2:14" x14ac:dyDescent="0.35">
      <c r="B36" s="24" t="s">
        <v>22</v>
      </c>
      <c r="C36">
        <v>22.8</v>
      </c>
      <c r="D36">
        <v>18.5</v>
      </c>
      <c r="E36">
        <v>2.5</v>
      </c>
      <c r="F36">
        <v>2127</v>
      </c>
      <c r="G36">
        <v>6.23</v>
      </c>
      <c r="H36" s="1">
        <v>0.154</v>
      </c>
      <c r="I36">
        <v>4.4400000000000004</v>
      </c>
      <c r="J36">
        <v>0.65</v>
      </c>
      <c r="K36">
        <v>0.27</v>
      </c>
      <c r="L36">
        <f>C36/(98%*H36)</f>
        <v>151.07341637953883</v>
      </c>
      <c r="M36" s="1">
        <v>1.1999999999999999E-3</v>
      </c>
      <c r="N36" s="13">
        <v>8.1699999999999995E-2</v>
      </c>
    </row>
    <row r="37" spans="2:14" x14ac:dyDescent="0.35">
      <c r="B37" s="24" t="s">
        <v>23</v>
      </c>
      <c r="C37">
        <v>15.4</v>
      </c>
      <c r="D37">
        <v>16.600000000000001</v>
      </c>
      <c r="E37">
        <v>2.0299999999999998</v>
      </c>
      <c r="F37">
        <v>1289</v>
      </c>
      <c r="G37">
        <v>3.09</v>
      </c>
      <c r="H37" s="1">
        <v>0.16300000000000001</v>
      </c>
      <c r="I37">
        <v>77.260000000000005</v>
      </c>
      <c r="J37">
        <v>1.0660000000000001</v>
      </c>
      <c r="K37">
        <v>0.2</v>
      </c>
      <c r="L37">
        <f>C37/(99%*H37)</f>
        <v>95.432856169052485</v>
      </c>
      <c r="M37" s="1">
        <v>8.0000000000000004E-4</v>
      </c>
      <c r="N37" s="13">
        <v>7.1099999999999997E-2</v>
      </c>
    </row>
    <row r="38" spans="2:14" x14ac:dyDescent="0.35">
      <c r="B38" s="24" t="s">
        <v>24</v>
      </c>
      <c r="C38">
        <v>34.799999999999997</v>
      </c>
      <c r="D38">
        <v>13.4</v>
      </c>
      <c r="E38">
        <v>4.43</v>
      </c>
      <c r="F38">
        <v>2105</v>
      </c>
      <c r="G38">
        <v>2.38</v>
      </c>
      <c r="H38" s="1">
        <v>0.13400000000000001</v>
      </c>
      <c r="I38">
        <v>8.25</v>
      </c>
      <c r="J38">
        <v>2.0699999999999998</v>
      </c>
      <c r="K38">
        <v>0.14000000000000001</v>
      </c>
      <c r="L38">
        <f>C38/(98%*H38)</f>
        <v>265.00152299725858</v>
      </c>
      <c r="M38" s="1">
        <v>5.0000000000000001E-4</v>
      </c>
      <c r="N38" s="15">
        <v>0.11</v>
      </c>
    </row>
    <row r="39" spans="2:14" x14ac:dyDescent="0.35">
      <c r="B39" s="24" t="s">
        <v>26</v>
      </c>
      <c r="C39">
        <v>82.1</v>
      </c>
      <c r="D39">
        <v>74.5</v>
      </c>
      <c r="E39">
        <v>11</v>
      </c>
      <c r="F39">
        <v>2009</v>
      </c>
      <c r="G39">
        <v>1.94</v>
      </c>
      <c r="H39" s="1">
        <v>0.151</v>
      </c>
      <c r="I39">
        <v>25.78</v>
      </c>
      <c r="J39" t="s">
        <v>121</v>
      </c>
      <c r="K39">
        <v>0.02</v>
      </c>
      <c r="L39">
        <f>C39/(89%*H39)</f>
        <v>610.90854974328442</v>
      </c>
      <c r="M39" s="1">
        <v>1.4E-3</v>
      </c>
      <c r="N39" s="13">
        <v>0.16900000000000001</v>
      </c>
    </row>
    <row r="40" spans="2:14" x14ac:dyDescent="0.35">
      <c r="B40" s="24" t="s">
        <v>25</v>
      </c>
      <c r="C40">
        <v>121</v>
      </c>
      <c r="D40">
        <v>92.4</v>
      </c>
      <c r="E40">
        <v>1.46</v>
      </c>
      <c r="F40">
        <v>307</v>
      </c>
      <c r="G40">
        <v>77.2</v>
      </c>
      <c r="H40" s="1">
        <v>1.23E-2</v>
      </c>
      <c r="I40">
        <v>0.13</v>
      </c>
      <c r="J40">
        <v>7.5</v>
      </c>
      <c r="K40">
        <v>0.65</v>
      </c>
      <c r="L40">
        <f>C40/(80%*H40)</f>
        <v>12296.747967479672</v>
      </c>
      <c r="M40" s="1">
        <v>1.6000000000000001E-3</v>
      </c>
      <c r="N40" s="50">
        <v>1.47E-2</v>
      </c>
    </row>
    <row r="41" spans="2:14" ht="2.5" customHeight="1" thickBot="1" x14ac:dyDescent="0.4">
      <c r="B41" s="23"/>
      <c r="N41" s="9"/>
    </row>
    <row r="42" spans="2:14" ht="15.5" thickTop="1" thickBot="1" x14ac:dyDescent="0.4">
      <c r="B42" s="22" t="s">
        <v>112</v>
      </c>
      <c r="N42" s="9"/>
    </row>
    <row r="43" spans="2:14" ht="3" customHeight="1" thickTop="1" x14ac:dyDescent="0.35">
      <c r="B43" s="23"/>
      <c r="N43" s="9"/>
    </row>
    <row r="44" spans="2:14" x14ac:dyDescent="0.35">
      <c r="B44" s="24" t="s">
        <v>37</v>
      </c>
      <c r="C44">
        <v>37.6</v>
      </c>
      <c r="D44">
        <v>23</v>
      </c>
      <c r="E44">
        <v>5.57</v>
      </c>
      <c r="F44">
        <v>1812</v>
      </c>
      <c r="G44">
        <v>7.91</v>
      </c>
      <c r="H44" s="1">
        <v>0.16900000000000001</v>
      </c>
      <c r="I44">
        <v>0.33</v>
      </c>
      <c r="J44">
        <v>69.86</v>
      </c>
      <c r="K44">
        <v>0.19</v>
      </c>
      <c r="L44">
        <f>C44/(65%*H44)</f>
        <v>342.28493400091031</v>
      </c>
      <c r="M44" s="1">
        <v>8.6999999999999994E-3</v>
      </c>
      <c r="N44" s="13">
        <v>0.20200000000000001</v>
      </c>
    </row>
    <row r="45" spans="2:14" ht="15" thickBot="1" x14ac:dyDescent="0.4">
      <c r="B45" s="24" t="s">
        <v>38</v>
      </c>
      <c r="C45">
        <v>69</v>
      </c>
      <c r="D45">
        <v>45.7</v>
      </c>
      <c r="E45">
        <v>11.2</v>
      </c>
      <c r="F45">
        <v>6455</v>
      </c>
      <c r="G45">
        <v>17.100000000000001</v>
      </c>
      <c r="H45" s="1">
        <v>0.154</v>
      </c>
      <c r="I45">
        <v>0.18</v>
      </c>
      <c r="J45">
        <v>306.42</v>
      </c>
      <c r="K45">
        <v>0.25</v>
      </c>
      <c r="L45">
        <f>C45/(64%*H45)</f>
        <v>700.08116883116884</v>
      </c>
      <c r="M45" s="1">
        <v>4.5999999999999999E-3</v>
      </c>
      <c r="N45" s="13">
        <v>0.20399999999999999</v>
      </c>
    </row>
    <row r="46" spans="2:14" ht="15" thickBot="1" x14ac:dyDescent="0.4">
      <c r="B46" s="25" t="s">
        <v>39</v>
      </c>
      <c r="C46" s="2">
        <v>58.2</v>
      </c>
      <c r="D46" s="2">
        <v>32.5</v>
      </c>
      <c r="E46" s="2">
        <v>14.9</v>
      </c>
      <c r="F46" s="2">
        <v>3726</v>
      </c>
      <c r="G46" s="2">
        <v>10.3</v>
      </c>
      <c r="H46" s="3">
        <v>0.26500000000000001</v>
      </c>
      <c r="I46" s="2">
        <v>0.84</v>
      </c>
      <c r="J46" s="2">
        <v>22.11</v>
      </c>
      <c r="K46" s="2">
        <v>0.17</v>
      </c>
      <c r="L46" s="2">
        <f>C46/(43%*H46)</f>
        <v>510.75032909170687</v>
      </c>
      <c r="M46" s="3">
        <v>8.6E-3</v>
      </c>
      <c r="N46" s="53">
        <v>0.27</v>
      </c>
    </row>
    <row r="47" spans="2:14" x14ac:dyDescent="0.35">
      <c r="B47" s="24" t="s">
        <v>40</v>
      </c>
      <c r="C47">
        <v>22.6</v>
      </c>
      <c r="D47">
        <v>14.9</v>
      </c>
      <c r="E47">
        <v>3.75</v>
      </c>
      <c r="F47">
        <v>1525</v>
      </c>
      <c r="G47">
        <v>4.3499999999999996</v>
      </c>
      <c r="H47" s="1">
        <v>0.17800000000000002</v>
      </c>
      <c r="I47">
        <v>0.22</v>
      </c>
      <c r="J47">
        <v>148.91</v>
      </c>
      <c r="K47">
        <v>0.19</v>
      </c>
      <c r="L47">
        <f>C47/(75%*H47)</f>
        <v>169.28838951310863</v>
      </c>
      <c r="M47" s="1">
        <v>8.5000000000000006E-3</v>
      </c>
      <c r="N47" s="13">
        <v>0.22700000000000001</v>
      </c>
    </row>
    <row r="48" spans="2:14" ht="15" thickBot="1" x14ac:dyDescent="0.4">
      <c r="B48" s="24" t="s">
        <v>41</v>
      </c>
      <c r="C48">
        <v>18</v>
      </c>
      <c r="D48">
        <v>11</v>
      </c>
      <c r="E48">
        <v>2.92</v>
      </c>
      <c r="F48">
        <v>1244</v>
      </c>
      <c r="G48">
        <v>3.03</v>
      </c>
      <c r="H48" s="14">
        <v>0.18</v>
      </c>
      <c r="I48">
        <v>0.51</v>
      </c>
      <c r="J48">
        <v>32.18</v>
      </c>
      <c r="K48">
        <v>0.17</v>
      </c>
      <c r="L48">
        <f>C48/(88%*H48)</f>
        <v>113.63636363636364</v>
      </c>
      <c r="M48" s="1">
        <v>6.4000000000000003E-3</v>
      </c>
      <c r="N48" s="13">
        <v>0.22700000000000001</v>
      </c>
    </row>
    <row r="49" spans="2:14" ht="15" thickBot="1" x14ac:dyDescent="0.4">
      <c r="B49" s="43" t="s">
        <v>42</v>
      </c>
      <c r="C49" s="44">
        <v>18.7</v>
      </c>
      <c r="D49" s="44">
        <v>12.6</v>
      </c>
      <c r="E49" s="44">
        <v>3.68</v>
      </c>
      <c r="F49" s="44">
        <v>934</v>
      </c>
      <c r="G49" s="44">
        <v>3.84</v>
      </c>
      <c r="H49" s="45">
        <v>0.21199999999999999</v>
      </c>
      <c r="I49" s="44">
        <v>0.85</v>
      </c>
      <c r="J49" s="44">
        <v>29.24</v>
      </c>
      <c r="K49" s="44">
        <v>0.21</v>
      </c>
      <c r="L49" s="44">
        <f>C49/(76%*H49)</f>
        <v>116.06256206554121</v>
      </c>
      <c r="M49" s="45">
        <v>1.17E-2</v>
      </c>
      <c r="N49" s="46">
        <v>0.24299999999999999</v>
      </c>
    </row>
    <row r="50" spans="2:14" x14ac:dyDescent="0.35">
      <c r="B50" s="24" t="s">
        <v>43</v>
      </c>
      <c r="C50">
        <v>21.8</v>
      </c>
      <c r="D50">
        <v>13.9</v>
      </c>
      <c r="E50">
        <v>4.8499999999999996</v>
      </c>
      <c r="F50">
        <v>2072</v>
      </c>
      <c r="G50">
        <v>3.82</v>
      </c>
      <c r="H50" s="1">
        <v>0.20600000000000002</v>
      </c>
      <c r="I50">
        <v>0.71</v>
      </c>
      <c r="J50">
        <v>22.54</v>
      </c>
      <c r="K50">
        <v>0.17</v>
      </c>
      <c r="L50">
        <f>C50/(83%*H50)</f>
        <v>127.50029243186339</v>
      </c>
      <c r="M50" s="1">
        <v>5.7999999999999996E-3</v>
      </c>
      <c r="N50" s="13">
        <v>0.21299999999999999</v>
      </c>
    </row>
    <row r="51" spans="2:14" x14ac:dyDescent="0.35">
      <c r="B51" s="24" t="s">
        <v>44</v>
      </c>
      <c r="C51">
        <v>52.8</v>
      </c>
      <c r="D51">
        <v>26.5</v>
      </c>
      <c r="E51">
        <v>6.05</v>
      </c>
      <c r="F51">
        <v>2238</v>
      </c>
      <c r="G51">
        <v>6.82</v>
      </c>
      <c r="H51" s="1">
        <v>0.14699999999999999</v>
      </c>
      <c r="I51">
        <v>0.88</v>
      </c>
      <c r="J51">
        <v>5.48</v>
      </c>
      <c r="K51">
        <v>0.13100000000000001</v>
      </c>
      <c r="L51">
        <f>C51/(100%*H51)</f>
        <v>359.18367346938777</v>
      </c>
      <c r="M51" s="1">
        <v>4.0000000000000002E-4</v>
      </c>
      <c r="N51" s="15">
        <v>0.16</v>
      </c>
    </row>
    <row r="52" spans="2:14" x14ac:dyDescent="0.35">
      <c r="B52" s="24" t="s">
        <v>110</v>
      </c>
      <c r="C52">
        <v>80.2</v>
      </c>
      <c r="D52">
        <v>51.3</v>
      </c>
      <c r="E52">
        <v>11.2</v>
      </c>
      <c r="F52">
        <v>1162</v>
      </c>
      <c r="G52">
        <v>14.2</v>
      </c>
      <c r="H52" s="1">
        <v>0.127</v>
      </c>
      <c r="I52">
        <v>0.62</v>
      </c>
      <c r="J52">
        <v>11.67</v>
      </c>
      <c r="K52">
        <v>0.17</v>
      </c>
      <c r="L52">
        <f>C52/(86%*H52)</f>
        <v>734.29774766526282</v>
      </c>
      <c r="M52" s="1">
        <v>1.2999999999999999E-3</v>
      </c>
      <c r="N52" s="13">
        <v>0.14899999999999999</v>
      </c>
    </row>
    <row r="53" spans="2:14" x14ac:dyDescent="0.35">
      <c r="B53" s="24" t="s">
        <v>111</v>
      </c>
      <c r="C53">
        <v>63.2</v>
      </c>
      <c r="D53">
        <v>31.4</v>
      </c>
      <c r="E53">
        <v>11.6</v>
      </c>
      <c r="F53">
        <v>7356</v>
      </c>
      <c r="G53">
        <v>4.55</v>
      </c>
      <c r="H53" s="1">
        <v>0.184</v>
      </c>
      <c r="I53">
        <v>1.41</v>
      </c>
      <c r="J53">
        <v>9.3800000000000008</v>
      </c>
      <c r="K53">
        <v>7.0000000000000007E-2</v>
      </c>
      <c r="L53">
        <f>C53/(87%*H53)</f>
        <v>394.8025987006497</v>
      </c>
      <c r="M53" s="1">
        <v>2.5999999999999999E-3</v>
      </c>
      <c r="N53" s="13">
        <v>0.16600000000000001</v>
      </c>
    </row>
    <row r="54" spans="2:14" ht="2.15" customHeight="1" thickBot="1" x14ac:dyDescent="0.4">
      <c r="B54" s="23"/>
      <c r="N54" s="9"/>
    </row>
    <row r="55" spans="2:14" ht="15.5" thickTop="1" thickBot="1" x14ac:dyDescent="0.4">
      <c r="B55" s="22" t="s">
        <v>3</v>
      </c>
      <c r="N55" s="9"/>
    </row>
    <row r="56" spans="2:14" ht="4.5" customHeight="1" thickTop="1" x14ac:dyDescent="0.35">
      <c r="B56" s="23"/>
      <c r="N56" s="9"/>
    </row>
    <row r="57" spans="2:14" x14ac:dyDescent="0.35">
      <c r="B57" s="24" t="s">
        <v>45</v>
      </c>
      <c r="C57">
        <v>34.1</v>
      </c>
      <c r="D57">
        <v>19.899999999999999</v>
      </c>
      <c r="E57">
        <v>5.0599999999999996</v>
      </c>
      <c r="F57">
        <v>16031</v>
      </c>
      <c r="G57">
        <v>3.14</v>
      </c>
      <c r="H57" s="1">
        <v>0.159</v>
      </c>
      <c r="I57">
        <v>0.39</v>
      </c>
      <c r="J57">
        <v>130.19999999999999</v>
      </c>
      <c r="K57">
        <v>0.09</v>
      </c>
      <c r="L57">
        <f>C57/(71%*H57)</f>
        <v>302.0639560634246</v>
      </c>
      <c r="M57" s="1">
        <v>8.5000000000000006E-3</v>
      </c>
      <c r="N57" s="13">
        <v>0.217</v>
      </c>
    </row>
    <row r="58" spans="2:14" x14ac:dyDescent="0.35">
      <c r="B58" s="24" t="s">
        <v>46</v>
      </c>
      <c r="C58">
        <v>32</v>
      </c>
      <c r="D58">
        <v>14.9</v>
      </c>
      <c r="E58">
        <v>5.5</v>
      </c>
      <c r="F58">
        <v>3670</v>
      </c>
      <c r="G58">
        <v>2.6</v>
      </c>
      <c r="H58" s="14">
        <v>0.18</v>
      </c>
      <c r="I58">
        <v>2.54</v>
      </c>
      <c r="J58">
        <v>4.2</v>
      </c>
      <c r="K58">
        <v>0.09</v>
      </c>
      <c r="L58">
        <f>C58/(78%*H58)</f>
        <v>227.92022792022792</v>
      </c>
      <c r="M58" s="1">
        <v>6.7000000000000002E-3</v>
      </c>
      <c r="N58" s="13">
        <v>0.13900000000000001</v>
      </c>
    </row>
    <row r="59" spans="2:14" x14ac:dyDescent="0.35">
      <c r="B59" s="24" t="s">
        <v>47</v>
      </c>
      <c r="C59">
        <v>30.4</v>
      </c>
      <c r="D59">
        <v>21.5</v>
      </c>
      <c r="E59">
        <v>7.35</v>
      </c>
      <c r="F59">
        <v>9050</v>
      </c>
      <c r="G59">
        <v>4.62</v>
      </c>
      <c r="H59" s="1">
        <v>0.22800000000000001</v>
      </c>
      <c r="I59">
        <v>0.91</v>
      </c>
      <c r="J59">
        <v>14.38</v>
      </c>
      <c r="K59">
        <v>0.15</v>
      </c>
      <c r="L59">
        <f>C59/(20%*H59)</f>
        <v>666.66666666666663</v>
      </c>
      <c r="M59" s="1">
        <v>2.3099999999999999E-2</v>
      </c>
      <c r="N59" s="13">
        <v>0.28100000000000003</v>
      </c>
    </row>
    <row r="60" spans="2:14" ht="15" thickBot="1" x14ac:dyDescent="0.4">
      <c r="B60" s="24" t="s">
        <v>48</v>
      </c>
      <c r="C60">
        <v>37.6</v>
      </c>
      <c r="D60">
        <v>26.2</v>
      </c>
      <c r="E60">
        <v>8.73</v>
      </c>
      <c r="F60">
        <v>7007</v>
      </c>
      <c r="G60">
        <v>8.9700000000000006</v>
      </c>
      <c r="H60" s="1">
        <v>0.24099999999999999</v>
      </c>
      <c r="I60">
        <v>0.31</v>
      </c>
      <c r="J60">
        <v>94.5</v>
      </c>
      <c r="K60">
        <v>0.24</v>
      </c>
      <c r="L60">
        <f>C60/(59%*H60)</f>
        <v>264.4349110345313</v>
      </c>
      <c r="M60" s="1">
        <v>9.9000000000000008E-3</v>
      </c>
      <c r="N60" s="13">
        <v>0.29799999999999999</v>
      </c>
    </row>
    <row r="61" spans="2:14" ht="15" thickBot="1" x14ac:dyDescent="0.4">
      <c r="B61" s="25" t="s">
        <v>49</v>
      </c>
      <c r="C61" s="2">
        <v>33.200000000000003</v>
      </c>
      <c r="D61" s="2">
        <v>18.600000000000001</v>
      </c>
      <c r="E61" s="2">
        <v>11</v>
      </c>
      <c r="F61" s="2">
        <v>2295</v>
      </c>
      <c r="G61" s="2">
        <v>2.79</v>
      </c>
      <c r="H61" s="3">
        <v>0.42199999999999999</v>
      </c>
      <c r="I61" s="2">
        <v>0.8</v>
      </c>
      <c r="J61" s="2">
        <v>100.94</v>
      </c>
      <c r="K61" s="2">
        <v>8.4000000000000005E-2</v>
      </c>
      <c r="L61" s="2">
        <f>C61/(69%*H61)</f>
        <v>114.01881997389931</v>
      </c>
      <c r="M61" s="3">
        <v>8.9999999999999993E-3</v>
      </c>
      <c r="N61" s="4">
        <v>0.54200000000000004</v>
      </c>
    </row>
    <row r="62" spans="2:14" ht="15" thickBot="1" x14ac:dyDescent="0.4">
      <c r="B62" s="24" t="s">
        <v>50</v>
      </c>
      <c r="C62">
        <v>64</v>
      </c>
      <c r="D62">
        <v>23.9</v>
      </c>
      <c r="E62">
        <v>20.6</v>
      </c>
      <c r="F62">
        <v>3510</v>
      </c>
      <c r="G62">
        <v>3.41</v>
      </c>
      <c r="H62" s="1">
        <v>0.28399999999999997</v>
      </c>
      <c r="I62">
        <v>5.4</v>
      </c>
      <c r="J62">
        <v>3.94</v>
      </c>
      <c r="K62">
        <v>5.7000000000000002E-2</v>
      </c>
      <c r="L62">
        <f>C62/(79%*H62)</f>
        <v>285.25583883045107</v>
      </c>
      <c r="M62" s="1">
        <v>2.8E-3</v>
      </c>
      <c r="N62" s="13">
        <v>0.154</v>
      </c>
    </row>
    <row r="63" spans="2:14" ht="15" thickBot="1" x14ac:dyDescent="0.4">
      <c r="B63" s="43" t="s">
        <v>51</v>
      </c>
      <c r="C63" s="44">
        <v>9.7799999999999994</v>
      </c>
      <c r="D63" s="44">
        <v>4.08</v>
      </c>
      <c r="E63" s="44">
        <v>1.2</v>
      </c>
      <c r="F63" s="44">
        <v>360</v>
      </c>
      <c r="G63" s="44">
        <v>0.34</v>
      </c>
      <c r="H63" s="45">
        <v>0.28100000000000003</v>
      </c>
      <c r="I63" s="44">
        <v>2.1</v>
      </c>
      <c r="J63" s="44">
        <v>15.8</v>
      </c>
      <c r="K63" s="44">
        <v>0.24</v>
      </c>
      <c r="L63" s="44">
        <f>C63/(92%*H63)</f>
        <v>37.830728763732004</v>
      </c>
      <c r="M63" s="45">
        <v>1.6799999999999999E-2</v>
      </c>
      <c r="N63" s="52">
        <v>0.2</v>
      </c>
    </row>
    <row r="64" spans="2:14" x14ac:dyDescent="0.35">
      <c r="B64" s="24" t="s">
        <v>52</v>
      </c>
      <c r="C64">
        <v>23.1</v>
      </c>
      <c r="D64">
        <v>15.6</v>
      </c>
      <c r="E64">
        <v>5.87</v>
      </c>
      <c r="F64">
        <v>6113</v>
      </c>
      <c r="G64">
        <v>2.9</v>
      </c>
      <c r="H64" s="1">
        <v>0.23100000000000001</v>
      </c>
      <c r="I64">
        <v>0.55000000000000004</v>
      </c>
      <c r="J64">
        <v>92.77</v>
      </c>
      <c r="K64">
        <v>0.126</v>
      </c>
      <c r="L64">
        <f>C64/(25%*H64)</f>
        <v>400</v>
      </c>
      <c r="M64" s="1">
        <v>2.6700000000000002E-2</v>
      </c>
      <c r="N64" s="13">
        <v>0.30299999999999999</v>
      </c>
    </row>
    <row r="65" spans="2:14" x14ac:dyDescent="0.35">
      <c r="B65" s="24" t="s">
        <v>53</v>
      </c>
      <c r="C65">
        <v>36.299999999999997</v>
      </c>
      <c r="D65">
        <v>11.9</v>
      </c>
      <c r="E65">
        <v>3.32</v>
      </c>
      <c r="F65">
        <v>115</v>
      </c>
      <c r="G65">
        <v>1.04</v>
      </c>
      <c r="H65" s="1">
        <v>0.122</v>
      </c>
      <c r="I65">
        <v>1.71</v>
      </c>
      <c r="J65">
        <v>8.9</v>
      </c>
      <c r="K65">
        <v>0.03</v>
      </c>
      <c r="L65">
        <f>C65/(84%*H65)</f>
        <v>354.2154566744731</v>
      </c>
      <c r="M65" s="1">
        <v>4.8999999999999998E-3</v>
      </c>
      <c r="N65" s="13">
        <v>0.13700000000000001</v>
      </c>
    </row>
    <row r="66" spans="2:14" x14ac:dyDescent="0.35">
      <c r="B66" s="24" t="s">
        <v>54</v>
      </c>
      <c r="C66">
        <v>47</v>
      </c>
      <c r="D66">
        <v>31.2</v>
      </c>
      <c r="E66">
        <v>7.61</v>
      </c>
      <c r="F66">
        <v>36158</v>
      </c>
      <c r="G66">
        <v>5.62</v>
      </c>
      <c r="H66" s="1">
        <v>0.156</v>
      </c>
      <c r="I66">
        <v>0.45</v>
      </c>
      <c r="J66">
        <v>143.15</v>
      </c>
      <c r="K66">
        <v>0.14000000000000001</v>
      </c>
      <c r="L66">
        <f>C66/(25%*H66)</f>
        <v>1205.1282051282051</v>
      </c>
      <c r="M66" s="1">
        <v>1.4200000000000001E-2</v>
      </c>
      <c r="N66" s="13">
        <v>0.21099999999999999</v>
      </c>
    </row>
    <row r="67" spans="2:14" ht="2.15" customHeight="1" thickBot="1" x14ac:dyDescent="0.4">
      <c r="B67" s="23"/>
      <c r="N67" s="9"/>
    </row>
    <row r="68" spans="2:14" ht="15.5" thickTop="1" thickBot="1" x14ac:dyDescent="0.4">
      <c r="B68" s="22" t="s">
        <v>4</v>
      </c>
      <c r="N68" s="9"/>
    </row>
    <row r="69" spans="2:14" ht="3.65" customHeight="1" thickTop="1" x14ac:dyDescent="0.35">
      <c r="B69" s="23"/>
      <c r="N69" s="9"/>
    </row>
    <row r="70" spans="2:14" ht="15" thickBot="1" x14ac:dyDescent="0.4">
      <c r="B70" s="24" t="s">
        <v>55</v>
      </c>
      <c r="C70">
        <v>13.4</v>
      </c>
      <c r="D70">
        <v>8.73</v>
      </c>
      <c r="E70">
        <v>1.66</v>
      </c>
      <c r="F70">
        <v>328</v>
      </c>
      <c r="G70">
        <v>1.7</v>
      </c>
      <c r="H70" s="1">
        <v>0.121</v>
      </c>
      <c r="I70">
        <v>1.8</v>
      </c>
      <c r="J70">
        <v>5.4</v>
      </c>
      <c r="K70">
        <v>0.13</v>
      </c>
      <c r="L70">
        <f>C70/(65%*H70)</f>
        <v>170.37507946598856</v>
      </c>
      <c r="M70" s="1">
        <v>2.5600000000000001E-2</v>
      </c>
      <c r="N70" s="13">
        <v>9.9500000000000005E-2</v>
      </c>
    </row>
    <row r="71" spans="2:14" ht="15" thickBot="1" x14ac:dyDescent="0.4">
      <c r="B71" s="25" t="s">
        <v>56</v>
      </c>
      <c r="C71" s="2">
        <v>23.9</v>
      </c>
      <c r="D71" s="2">
        <v>13.9</v>
      </c>
      <c r="E71" s="2">
        <v>5.0199999999999996</v>
      </c>
      <c r="F71" s="2">
        <v>149</v>
      </c>
      <c r="G71" s="2">
        <v>5.19</v>
      </c>
      <c r="H71" s="3">
        <v>0.26100000000000001</v>
      </c>
      <c r="I71" s="2">
        <v>1.1499999999999999</v>
      </c>
      <c r="J71" s="2">
        <v>7.4</v>
      </c>
      <c r="K71" s="2">
        <v>0.22</v>
      </c>
      <c r="L71" s="2">
        <f>C71/(100%*H71)</f>
        <v>91.570881226053629</v>
      </c>
      <c r="M71" s="5">
        <v>0</v>
      </c>
      <c r="N71" s="4">
        <v>0.22500000000000001</v>
      </c>
    </row>
    <row r="72" spans="2:14" ht="15" thickBot="1" x14ac:dyDescent="0.4">
      <c r="B72" s="43" t="s">
        <v>57</v>
      </c>
      <c r="C72" s="44">
        <v>16.8</v>
      </c>
      <c r="D72" s="44">
        <v>9.56</v>
      </c>
      <c r="E72" s="44">
        <v>2.6</v>
      </c>
      <c r="F72" s="44">
        <v>274</v>
      </c>
      <c r="G72" s="44">
        <v>5.52</v>
      </c>
      <c r="H72" s="51">
        <v>0.17</v>
      </c>
      <c r="I72" s="44">
        <v>1.81</v>
      </c>
      <c r="J72" s="44">
        <v>6.1</v>
      </c>
      <c r="K72" s="44">
        <v>0.33</v>
      </c>
      <c r="L72" s="44">
        <f>C72/(46%*H72)</f>
        <v>214.83375959079282</v>
      </c>
      <c r="M72" s="45">
        <v>3.3300000000000003E-2</v>
      </c>
      <c r="N72" s="46">
        <v>0.128</v>
      </c>
    </row>
    <row r="73" spans="2:14" x14ac:dyDescent="0.35">
      <c r="B73" s="24" t="s">
        <v>58</v>
      </c>
      <c r="C73">
        <v>77.2</v>
      </c>
      <c r="D73">
        <v>23.3</v>
      </c>
      <c r="E73">
        <v>8.6199999999999992</v>
      </c>
      <c r="F73">
        <v>1027</v>
      </c>
      <c r="G73">
        <v>13.8</v>
      </c>
      <c r="H73" s="1">
        <v>0.14599999999999999</v>
      </c>
      <c r="I73">
        <v>5.45</v>
      </c>
      <c r="J73">
        <v>2.21</v>
      </c>
      <c r="K73">
        <v>0.19</v>
      </c>
      <c r="L73">
        <f>C73/(100%*H73)</f>
        <v>528.76712328767132</v>
      </c>
      <c r="M73" s="14">
        <v>0</v>
      </c>
      <c r="N73" s="13">
        <v>8.6999999999999994E-2</v>
      </c>
    </row>
    <row r="74" spans="2:14" x14ac:dyDescent="0.35">
      <c r="B74" s="24" t="s">
        <v>59</v>
      </c>
      <c r="C74">
        <v>31</v>
      </c>
      <c r="D74">
        <v>11.8</v>
      </c>
      <c r="E74">
        <v>3.34</v>
      </c>
      <c r="F74">
        <v>392</v>
      </c>
      <c r="G74">
        <v>1.89</v>
      </c>
      <c r="H74" s="1">
        <v>0.11</v>
      </c>
      <c r="I74">
        <v>3.35</v>
      </c>
      <c r="J74">
        <v>3.51</v>
      </c>
      <c r="K74">
        <v>7.0000000000000007E-2</v>
      </c>
      <c r="L74">
        <f>C74/(80%*H74)</f>
        <v>352.27272727272725</v>
      </c>
      <c r="M74" s="1">
        <v>5.7999999999999996E-3</v>
      </c>
      <c r="N74" s="13">
        <v>0.108</v>
      </c>
    </row>
    <row r="75" spans="2:14" x14ac:dyDescent="0.35">
      <c r="B75" s="24" t="s">
        <v>60</v>
      </c>
      <c r="C75">
        <v>52.6</v>
      </c>
      <c r="D75">
        <v>19.3</v>
      </c>
      <c r="E75">
        <v>5.0199999999999996</v>
      </c>
      <c r="F75">
        <v>987</v>
      </c>
      <c r="G75">
        <v>4.63</v>
      </c>
      <c r="H75" s="1">
        <v>0.13600000000000001</v>
      </c>
      <c r="I75">
        <v>2.54</v>
      </c>
      <c r="J75">
        <v>2.75</v>
      </c>
      <c r="K75">
        <v>0.09</v>
      </c>
      <c r="L75">
        <f>C75/(100%*H75)</f>
        <v>386.76470588235293</v>
      </c>
      <c r="M75" s="14">
        <v>0</v>
      </c>
      <c r="N75" s="13">
        <v>0.10199999999999999</v>
      </c>
    </row>
    <row r="76" spans="2:14" x14ac:dyDescent="0.35">
      <c r="B76" s="24" t="s">
        <v>61</v>
      </c>
      <c r="C76">
        <v>41.8</v>
      </c>
      <c r="D76">
        <v>16.7</v>
      </c>
      <c r="E76">
        <v>2.94</v>
      </c>
      <c r="F76">
        <v>484</v>
      </c>
      <c r="G76">
        <v>5.3</v>
      </c>
      <c r="H76" s="1">
        <v>7.4099999999999999E-2</v>
      </c>
      <c r="I76">
        <v>2.9</v>
      </c>
      <c r="J76">
        <v>2.6</v>
      </c>
      <c r="K76">
        <v>0.14000000000000001</v>
      </c>
      <c r="L76">
        <f>C76/(82%*H76)</f>
        <v>687.92995622263913</v>
      </c>
      <c r="M76" s="1">
        <v>4.1000000000000003E-3</v>
      </c>
      <c r="N76" s="13">
        <v>6.4899999999999999E-2</v>
      </c>
    </row>
    <row r="77" spans="2:14" x14ac:dyDescent="0.35">
      <c r="B77" s="24" t="s">
        <v>62</v>
      </c>
      <c r="C77">
        <v>132</v>
      </c>
      <c r="D77">
        <v>41.1</v>
      </c>
      <c r="E77">
        <v>4.2</v>
      </c>
      <c r="F77">
        <v>94.9</v>
      </c>
      <c r="G77">
        <v>33</v>
      </c>
      <c r="H77" s="1">
        <v>3.85E-2</v>
      </c>
      <c r="I77">
        <v>1.58</v>
      </c>
      <c r="J77">
        <v>3.84</v>
      </c>
      <c r="K77">
        <v>0.25</v>
      </c>
      <c r="L77">
        <f>C77/(100%*H77)</f>
        <v>3428.5714285714284</v>
      </c>
      <c r="M77" s="14">
        <v>0</v>
      </c>
      <c r="N77" s="13">
        <v>4.8899999999999999E-2</v>
      </c>
    </row>
    <row r="78" spans="2:14" x14ac:dyDescent="0.35">
      <c r="B78" s="24" t="s">
        <v>63</v>
      </c>
      <c r="C78">
        <v>24.4</v>
      </c>
      <c r="D78">
        <v>15.8</v>
      </c>
      <c r="E78">
        <v>1.9</v>
      </c>
      <c r="F78">
        <v>76.8</v>
      </c>
      <c r="G78">
        <v>6.88</v>
      </c>
      <c r="H78" s="1">
        <v>7.5300000000000006E-2</v>
      </c>
      <c r="I78">
        <v>1.7</v>
      </c>
      <c r="J78">
        <v>6.28</v>
      </c>
      <c r="K78">
        <v>0.32</v>
      </c>
      <c r="L78">
        <f>C78/(36%*H78)</f>
        <v>900.10329054153749</v>
      </c>
      <c r="M78" s="1">
        <v>2.4899999999999999E-2</v>
      </c>
      <c r="N78" s="13">
        <v>7.4200000000000002E-2</v>
      </c>
    </row>
    <row r="79" spans="2:14" x14ac:dyDescent="0.35">
      <c r="B79" s="24" t="s">
        <v>64</v>
      </c>
      <c r="C79">
        <v>22.2</v>
      </c>
      <c r="D79">
        <v>13.4</v>
      </c>
      <c r="E79">
        <v>3.54</v>
      </c>
      <c r="F79">
        <v>1315</v>
      </c>
      <c r="G79">
        <v>2.31</v>
      </c>
      <c r="H79" s="1">
        <v>0.19</v>
      </c>
      <c r="I79" t="s">
        <v>123</v>
      </c>
      <c r="J79">
        <v>7.2</v>
      </c>
      <c r="K79">
        <v>0.11</v>
      </c>
      <c r="L79">
        <f>C79/(68%*H79)</f>
        <v>171.82662538699688</v>
      </c>
      <c r="M79" s="1">
        <v>1.4500000000000001E-2</v>
      </c>
      <c r="N79" s="15">
        <v>0.16</v>
      </c>
    </row>
    <row r="80" spans="2:14" ht="3" customHeight="1" thickBot="1" x14ac:dyDescent="0.4">
      <c r="B80" s="23"/>
      <c r="N80" s="9"/>
    </row>
    <row r="81" spans="2:14" ht="15.5" thickTop="1" thickBot="1" x14ac:dyDescent="0.4">
      <c r="B81" s="22" t="s">
        <v>6</v>
      </c>
      <c r="N81" s="9"/>
    </row>
    <row r="82" spans="2:14" ht="3.65" customHeight="1" thickTop="1" x14ac:dyDescent="0.35">
      <c r="B82" s="23"/>
      <c r="N82" s="9"/>
    </row>
    <row r="83" spans="2:14" x14ac:dyDescent="0.35">
      <c r="B83" s="24" t="s">
        <v>65</v>
      </c>
      <c r="C83">
        <v>119</v>
      </c>
      <c r="D83">
        <v>25.1</v>
      </c>
      <c r="E83">
        <v>5.49</v>
      </c>
      <c r="F83">
        <v>2288</v>
      </c>
      <c r="G83">
        <v>3.18</v>
      </c>
      <c r="H83" s="1">
        <v>9.8199999999999996E-2</v>
      </c>
      <c r="I83">
        <v>3.1</v>
      </c>
      <c r="J83">
        <v>2.74</v>
      </c>
      <c r="K83">
        <v>0.09</v>
      </c>
      <c r="L83">
        <f>C83/(98%*H83)</f>
        <v>1236.5434972359617</v>
      </c>
      <c r="M83" s="1">
        <v>5.9999999999999995E-4</v>
      </c>
      <c r="N83" s="13">
        <v>9.4500000000000001E-2</v>
      </c>
    </row>
    <row r="84" spans="2:14" x14ac:dyDescent="0.35">
      <c r="B84" s="24" t="s">
        <v>66</v>
      </c>
      <c r="C84">
        <v>45.8</v>
      </c>
      <c r="D84">
        <v>13.5</v>
      </c>
      <c r="E84">
        <v>3.41</v>
      </c>
      <c r="F84">
        <v>1144</v>
      </c>
      <c r="G84">
        <v>1.6</v>
      </c>
      <c r="H84" s="1">
        <v>4.9399999999999999E-2</v>
      </c>
      <c r="I84">
        <v>2.02</v>
      </c>
      <c r="J84">
        <v>4.09</v>
      </c>
      <c r="K84">
        <v>3.5000000000000003E-2</v>
      </c>
      <c r="L84">
        <f>C84/(76%*H84)</f>
        <v>1219.9019816748348</v>
      </c>
      <c r="M84" s="1">
        <v>2.3999999999999998E-3</v>
      </c>
      <c r="N84" s="13">
        <v>8.1100000000000005E-2</v>
      </c>
    </row>
    <row r="85" spans="2:14" x14ac:dyDescent="0.35">
      <c r="B85" s="24" t="s">
        <v>67</v>
      </c>
      <c r="C85">
        <v>28.6</v>
      </c>
      <c r="D85">
        <v>9.81</v>
      </c>
      <c r="E85">
        <v>2.2400000000000002</v>
      </c>
      <c r="F85">
        <v>168</v>
      </c>
      <c r="G85">
        <v>0.95</v>
      </c>
      <c r="H85" s="1">
        <v>3.8899999999999997E-2</v>
      </c>
      <c r="I85">
        <v>2.0099999999999998</v>
      </c>
      <c r="J85">
        <v>5.5</v>
      </c>
      <c r="K85">
        <v>0.03</v>
      </c>
      <c r="L85">
        <f>C85/(-0.31*H85)</f>
        <v>-2371.6726096691273</v>
      </c>
      <c r="M85" s="1">
        <v>2.1399999999999999E-2</v>
      </c>
      <c r="N85" s="13">
        <v>8.8300000000000003E-2</v>
      </c>
    </row>
    <row r="86" spans="2:14" ht="15" thickBot="1" x14ac:dyDescent="0.4">
      <c r="B86" s="24" t="s">
        <v>68</v>
      </c>
      <c r="C86">
        <v>16</v>
      </c>
      <c r="D86">
        <v>5.91</v>
      </c>
      <c r="E86">
        <v>5.01</v>
      </c>
      <c r="F86">
        <v>521</v>
      </c>
      <c r="G86">
        <v>1.29</v>
      </c>
      <c r="H86" s="1">
        <v>0.38500000000000001</v>
      </c>
      <c r="I86">
        <v>4.3899999999999997</v>
      </c>
      <c r="J86">
        <v>6.03</v>
      </c>
      <c r="K86">
        <v>0.11</v>
      </c>
      <c r="L86">
        <f>C86/(-0.13*H86)</f>
        <v>-319.68031968031966</v>
      </c>
      <c r="M86" s="1">
        <v>8.2699999999999996E-2</v>
      </c>
      <c r="N86" s="13">
        <v>0.253</v>
      </c>
    </row>
    <row r="87" spans="2:14" ht="15" thickBot="1" x14ac:dyDescent="0.4">
      <c r="B87" s="25" t="s">
        <v>69</v>
      </c>
      <c r="C87" s="2">
        <v>19.2</v>
      </c>
      <c r="D87" s="2">
        <v>11.5</v>
      </c>
      <c r="E87" s="2">
        <v>14.7</v>
      </c>
      <c r="F87" s="2">
        <v>476</v>
      </c>
      <c r="G87" s="2">
        <v>5.94</v>
      </c>
      <c r="H87" s="3">
        <v>0.72399999999999998</v>
      </c>
      <c r="I87" s="2">
        <v>1.6</v>
      </c>
      <c r="J87" s="2">
        <v>20.5</v>
      </c>
      <c r="K87" s="2">
        <v>0.31</v>
      </c>
      <c r="L87" s="2">
        <f>C87/(-0.19*H87)</f>
        <v>-139.57545798197151</v>
      </c>
      <c r="M87" s="3">
        <v>5.9799999999999999E-2</v>
      </c>
      <c r="N87" s="4">
        <v>0.60699999999999998</v>
      </c>
    </row>
    <row r="88" spans="2:14" x14ac:dyDescent="0.35">
      <c r="B88" s="24" t="s">
        <v>70</v>
      </c>
      <c r="C88">
        <v>10.1</v>
      </c>
      <c r="D88">
        <v>6.79</v>
      </c>
      <c r="E88">
        <v>1.35</v>
      </c>
      <c r="F88">
        <v>804</v>
      </c>
      <c r="G88">
        <v>0.71</v>
      </c>
      <c r="H88" s="1">
        <v>0.14000000000000001</v>
      </c>
      <c r="I88">
        <v>1.2</v>
      </c>
      <c r="J88">
        <v>12.8</v>
      </c>
      <c r="K88">
        <v>0.09</v>
      </c>
      <c r="L88">
        <f>C88/(93%*H88)</f>
        <v>77.572964669738852</v>
      </c>
      <c r="M88" s="1">
        <v>6.1999999999999998E-3</v>
      </c>
      <c r="N88" s="13">
        <v>0.14799999999999999</v>
      </c>
    </row>
    <row r="89" spans="2:14" x14ac:dyDescent="0.35">
      <c r="B89" s="24" t="s">
        <v>71</v>
      </c>
      <c r="C89">
        <v>29.4</v>
      </c>
      <c r="D89">
        <v>12.5</v>
      </c>
      <c r="E89">
        <v>2.17</v>
      </c>
      <c r="F89">
        <v>1036</v>
      </c>
      <c r="G89">
        <v>2.16</v>
      </c>
      <c r="H89" s="1">
        <v>7.6799999999999993E-2</v>
      </c>
      <c r="I89">
        <v>0.85</v>
      </c>
      <c r="J89">
        <v>9.3699999999999992</v>
      </c>
      <c r="K89">
        <v>0.06</v>
      </c>
      <c r="L89">
        <f>C89/(93%*H89)</f>
        <v>411.6263440860215</v>
      </c>
      <c r="M89" s="1">
        <v>1.9E-3</v>
      </c>
      <c r="N89" s="13">
        <v>0.107</v>
      </c>
    </row>
    <row r="90" spans="2:14" ht="15" thickBot="1" x14ac:dyDescent="0.4">
      <c r="B90" s="24" t="s">
        <v>72</v>
      </c>
      <c r="C90">
        <v>36</v>
      </c>
      <c r="D90">
        <v>26.2</v>
      </c>
      <c r="E90">
        <v>8.39</v>
      </c>
      <c r="F90">
        <v>1229</v>
      </c>
      <c r="G90">
        <v>7.3</v>
      </c>
      <c r="H90" s="1">
        <v>0.314</v>
      </c>
      <c r="I90">
        <v>1.61</v>
      </c>
      <c r="J90">
        <v>13.57</v>
      </c>
      <c r="K90">
        <v>0.2</v>
      </c>
      <c r="L90">
        <f>C90/(96%*H90)</f>
        <v>119.42675159235669</v>
      </c>
      <c r="M90" s="1">
        <v>8.0000000000000004E-4</v>
      </c>
      <c r="N90" s="13">
        <v>0.38300000000000001</v>
      </c>
    </row>
    <row r="91" spans="2:14" ht="15" thickBot="1" x14ac:dyDescent="0.4">
      <c r="B91" s="43" t="s">
        <v>73</v>
      </c>
      <c r="C91" s="44">
        <v>9.34</v>
      </c>
      <c r="D91" s="44">
        <v>5.6</v>
      </c>
      <c r="E91" s="44">
        <v>2.04</v>
      </c>
      <c r="F91" s="44">
        <v>74.400000000000006</v>
      </c>
      <c r="G91" s="44">
        <v>2.4500000000000002</v>
      </c>
      <c r="H91" s="45">
        <v>0.23649999999999999</v>
      </c>
      <c r="I91" s="44">
        <v>0.31</v>
      </c>
      <c r="J91" s="44">
        <v>58.12</v>
      </c>
      <c r="K91" s="44">
        <v>0.26</v>
      </c>
      <c r="L91" s="44">
        <f>C91/(56%*H91)</f>
        <v>70.522500755058886</v>
      </c>
      <c r="M91" s="45">
        <v>4.4600000000000001E-2</v>
      </c>
      <c r="N91" s="46">
        <v>0.29599999999999999</v>
      </c>
    </row>
    <row r="92" spans="2:14" x14ac:dyDescent="0.35">
      <c r="B92" s="24" t="s">
        <v>74</v>
      </c>
      <c r="C92">
        <v>29.4</v>
      </c>
      <c r="D92">
        <v>12.5</v>
      </c>
      <c r="E92">
        <v>2.17</v>
      </c>
      <c r="F92">
        <v>1036</v>
      </c>
      <c r="G92">
        <v>2.16</v>
      </c>
      <c r="H92" s="1">
        <v>7.6799999999999993E-2</v>
      </c>
      <c r="I92">
        <v>1.1599999999999999</v>
      </c>
      <c r="J92">
        <v>9.89</v>
      </c>
      <c r="K92">
        <v>7.0000000000000007E-2</v>
      </c>
      <c r="L92">
        <f>C92/(90%*H92)</f>
        <v>425.34722222222217</v>
      </c>
      <c r="M92" s="1">
        <v>3.8999999999999998E-3</v>
      </c>
      <c r="N92" s="13">
        <v>0.182</v>
      </c>
    </row>
    <row r="93" spans="2:14" ht="3" customHeight="1" thickBot="1" x14ac:dyDescent="0.4">
      <c r="B93" s="23"/>
      <c r="N93" s="9"/>
    </row>
    <row r="94" spans="2:14" ht="15.5" thickTop="1" thickBot="1" x14ac:dyDescent="0.4">
      <c r="B94" s="22" t="s">
        <v>86</v>
      </c>
      <c r="N94" s="9"/>
    </row>
    <row r="95" spans="2:14" ht="2.5" customHeight="1" thickTop="1" thickBot="1" x14ac:dyDescent="0.4">
      <c r="B95" s="23"/>
      <c r="N95" s="9"/>
    </row>
    <row r="96" spans="2:14" ht="15" thickBot="1" x14ac:dyDescent="0.4">
      <c r="B96" s="43" t="s">
        <v>87</v>
      </c>
      <c r="C96" s="44">
        <v>13.4</v>
      </c>
      <c r="D96" s="44">
        <v>7.49</v>
      </c>
      <c r="E96" s="44">
        <v>1.79</v>
      </c>
      <c r="F96" s="44">
        <v>561</v>
      </c>
      <c r="G96" s="44">
        <v>5.07</v>
      </c>
      <c r="H96" s="45">
        <v>0.157</v>
      </c>
      <c r="I96" s="44">
        <v>8.5999999999999993E-2</v>
      </c>
      <c r="J96" s="44">
        <v>185.75</v>
      </c>
      <c r="K96" s="44">
        <v>0.37</v>
      </c>
      <c r="L96" s="44">
        <f>C96/(65%*H96)</f>
        <v>131.30818226359628</v>
      </c>
      <c r="M96" s="45">
        <v>2.7E-2</v>
      </c>
      <c r="N96" s="46">
        <v>0.20399999999999999</v>
      </c>
    </row>
    <row r="97" spans="2:14" x14ac:dyDescent="0.35">
      <c r="B97" s="24" t="s">
        <v>88</v>
      </c>
      <c r="C97">
        <v>111</v>
      </c>
      <c r="D97">
        <v>14.9</v>
      </c>
      <c r="E97">
        <v>7.68</v>
      </c>
      <c r="F97">
        <v>172</v>
      </c>
      <c r="G97">
        <v>3.37</v>
      </c>
      <c r="H97">
        <v>-16.7</v>
      </c>
      <c r="I97">
        <v>4.55</v>
      </c>
      <c r="J97">
        <v>2.94</v>
      </c>
      <c r="K97">
        <v>-0.11</v>
      </c>
      <c r="L97">
        <f>C97/(100%*H97)</f>
        <v>-6.6467065868263475</v>
      </c>
      <c r="M97" s="14">
        <v>0</v>
      </c>
      <c r="N97" s="13">
        <v>7.9500000000000001E-2</v>
      </c>
    </row>
    <row r="98" spans="2:14" x14ac:dyDescent="0.35">
      <c r="B98" s="24" t="s">
        <v>89</v>
      </c>
      <c r="C98" t="s">
        <v>121</v>
      </c>
      <c r="D98">
        <v>8.6999999999999993</v>
      </c>
      <c r="E98">
        <v>1.49</v>
      </c>
      <c r="F98">
        <v>1071</v>
      </c>
      <c r="G98">
        <v>1.68</v>
      </c>
      <c r="H98" s="1">
        <v>-4.1799999999999997E-2</v>
      </c>
      <c r="I98">
        <v>1.26</v>
      </c>
      <c r="J98">
        <v>3.96</v>
      </c>
      <c r="K98">
        <v>-0.01</v>
      </c>
      <c r="L98" t="s">
        <v>121</v>
      </c>
      <c r="M98" s="14">
        <v>0</v>
      </c>
      <c r="N98" s="13">
        <v>2.7199999999999998E-2</v>
      </c>
    </row>
    <row r="99" spans="2:14" x14ac:dyDescent="0.35">
      <c r="B99" s="24" t="s">
        <v>90</v>
      </c>
      <c r="C99">
        <v>10.9</v>
      </c>
      <c r="D99">
        <v>8.14</v>
      </c>
      <c r="E99">
        <v>2.76</v>
      </c>
      <c r="F99">
        <v>253</v>
      </c>
      <c r="G99">
        <v>4.5</v>
      </c>
      <c r="H99" s="1">
        <v>2.9000000000000001E-2</v>
      </c>
      <c r="I99">
        <v>0.25</v>
      </c>
      <c r="J99">
        <v>5.95</v>
      </c>
      <c r="K99">
        <v>0.02</v>
      </c>
      <c r="L99">
        <f>C99/(100%*H99)</f>
        <v>375.86206896551721</v>
      </c>
      <c r="M99" s="14">
        <v>0</v>
      </c>
      <c r="N99" s="13">
        <v>2.5000000000000001E-2</v>
      </c>
    </row>
    <row r="100" spans="2:14" x14ac:dyDescent="0.35">
      <c r="B100" s="24" t="s">
        <v>122</v>
      </c>
      <c r="C100">
        <v>14.9</v>
      </c>
      <c r="D100">
        <v>7.65</v>
      </c>
      <c r="E100">
        <v>0.82</v>
      </c>
      <c r="F100">
        <v>98.8</v>
      </c>
      <c r="G100">
        <v>1.19</v>
      </c>
      <c r="H100" s="1">
        <v>6.7099999999999993E-2</v>
      </c>
      <c r="I100">
        <v>0.18</v>
      </c>
      <c r="J100">
        <v>31.58</v>
      </c>
      <c r="K100">
        <v>7.0000000000000007E-2</v>
      </c>
      <c r="L100">
        <f>C100/(66%*H100)</f>
        <v>336.44944226166285</v>
      </c>
      <c r="M100" s="1">
        <v>2.3900000000000001E-2</v>
      </c>
      <c r="N100" s="13">
        <v>9.2100000000000001E-2</v>
      </c>
    </row>
    <row r="101" spans="2:14" x14ac:dyDescent="0.35">
      <c r="B101" s="24" t="s">
        <v>91</v>
      </c>
      <c r="C101">
        <v>37.700000000000003</v>
      </c>
      <c r="D101">
        <v>20.5</v>
      </c>
      <c r="E101">
        <v>4.5199999999999996</v>
      </c>
      <c r="F101">
        <v>390</v>
      </c>
      <c r="G101">
        <v>6.47</v>
      </c>
      <c r="H101" s="1">
        <v>0.125</v>
      </c>
      <c r="I101">
        <v>0.36</v>
      </c>
      <c r="J101">
        <v>50.85</v>
      </c>
      <c r="K101">
        <v>0.17499999999999999</v>
      </c>
      <c r="L101">
        <f>C101/(58%*H101)</f>
        <v>520.00000000000011</v>
      </c>
      <c r="M101" s="1">
        <v>1.1299999999999999E-2</v>
      </c>
      <c r="N101" s="13">
        <v>0.17199999999999999</v>
      </c>
    </row>
    <row r="102" spans="2:14" ht="15" thickBot="1" x14ac:dyDescent="0.4">
      <c r="B102" s="24" t="s">
        <v>92</v>
      </c>
      <c r="C102">
        <v>784</v>
      </c>
      <c r="D102">
        <v>22.4</v>
      </c>
      <c r="E102">
        <v>1.43</v>
      </c>
      <c r="F102">
        <v>45.4</v>
      </c>
      <c r="G102">
        <v>2.42</v>
      </c>
      <c r="H102" s="1">
        <v>-3.3399999999999999E-2</v>
      </c>
      <c r="I102">
        <v>0.8</v>
      </c>
      <c r="J102">
        <v>0.6</v>
      </c>
      <c r="K102">
        <v>-0.43</v>
      </c>
      <c r="L102">
        <f>C102/(100%*H102)</f>
        <v>-23473.053892215568</v>
      </c>
      <c r="M102" s="14">
        <v>0</v>
      </c>
      <c r="N102" s="13">
        <v>6.1000000000000004E-3</v>
      </c>
    </row>
    <row r="103" spans="2:14" ht="15" thickBot="1" x14ac:dyDescent="0.4">
      <c r="B103" s="43" t="s">
        <v>93</v>
      </c>
      <c r="C103" s="44">
        <v>40.299999999999997</v>
      </c>
      <c r="D103" s="44">
        <v>29.6</v>
      </c>
      <c r="E103" s="44">
        <v>27.2</v>
      </c>
      <c r="F103" s="44">
        <v>548</v>
      </c>
      <c r="G103" s="44">
        <v>21</v>
      </c>
      <c r="H103" s="45">
        <v>0.82899999999999996</v>
      </c>
      <c r="I103" s="44">
        <v>0.44</v>
      </c>
      <c r="J103" s="44" t="s">
        <v>121</v>
      </c>
      <c r="K103" s="44">
        <v>0.52</v>
      </c>
      <c r="L103" s="44">
        <f>C103/(46%*H103)</f>
        <v>105.67997062988408</v>
      </c>
      <c r="M103" s="45">
        <v>1.4500000000000001E-2</v>
      </c>
      <c r="N103" s="52">
        <v>1.0900000000000001</v>
      </c>
    </row>
    <row r="104" spans="2:14" ht="15" thickBot="1" x14ac:dyDescent="0.4">
      <c r="B104" s="25" t="s">
        <v>94</v>
      </c>
      <c r="C104" s="2">
        <v>13.4</v>
      </c>
      <c r="D104" s="2">
        <v>6.91</v>
      </c>
      <c r="E104" s="2">
        <v>2</v>
      </c>
      <c r="F104" s="2">
        <v>258</v>
      </c>
      <c r="G104" s="2">
        <v>1.95</v>
      </c>
      <c r="H104" s="3">
        <v>0.16699999999999998</v>
      </c>
      <c r="I104" s="2">
        <v>0.36</v>
      </c>
      <c r="J104" s="2">
        <v>22.44</v>
      </c>
      <c r="K104" s="2">
        <v>0.15</v>
      </c>
      <c r="L104" s="2">
        <f>C104/(42%*H104)</f>
        <v>191.04647847162821</v>
      </c>
      <c r="M104" s="3">
        <v>4.6399999999999997E-2</v>
      </c>
      <c r="N104" s="4">
        <v>0.21099999999999999</v>
      </c>
    </row>
    <row r="105" spans="2:14" x14ac:dyDescent="0.35">
      <c r="B105" s="24" t="s">
        <v>113</v>
      </c>
      <c r="C105">
        <v>8.83</v>
      </c>
      <c r="D105">
        <v>5.55</v>
      </c>
      <c r="E105">
        <v>0.78</v>
      </c>
      <c r="F105">
        <v>70</v>
      </c>
      <c r="G105">
        <v>0.79</v>
      </c>
      <c r="H105" s="1">
        <v>6.2100000000000002E-2</v>
      </c>
      <c r="I105">
        <v>0.45</v>
      </c>
      <c r="J105">
        <v>12.1</v>
      </c>
      <c r="K105">
        <v>7.0000000000000007E-2</v>
      </c>
      <c r="L105" t="s">
        <v>121</v>
      </c>
      <c r="M105" s="1">
        <v>8.5800000000000001E-2</v>
      </c>
      <c r="N105" s="13">
        <v>5.9499999999999997E-2</v>
      </c>
    </row>
    <row r="106" spans="2:14" ht="4.5" customHeight="1" thickBot="1" x14ac:dyDescent="0.4">
      <c r="B106" s="23"/>
      <c r="N106" s="9"/>
    </row>
    <row r="107" spans="2:14" ht="15.5" thickTop="1" thickBot="1" x14ac:dyDescent="0.4">
      <c r="B107" s="22" t="s">
        <v>5</v>
      </c>
      <c r="N107" s="9"/>
    </row>
    <row r="108" spans="2:14" ht="2.15" customHeight="1" thickTop="1" x14ac:dyDescent="0.35">
      <c r="B108" s="23"/>
      <c r="N108" s="9"/>
    </row>
    <row r="109" spans="2:14" x14ac:dyDescent="0.35">
      <c r="B109" s="24" t="s">
        <v>75</v>
      </c>
      <c r="C109">
        <v>35</v>
      </c>
      <c r="D109">
        <v>17.3</v>
      </c>
      <c r="E109">
        <v>5.56</v>
      </c>
      <c r="F109">
        <v>4087</v>
      </c>
      <c r="G109">
        <v>2.08</v>
      </c>
      <c r="H109" s="1">
        <v>0.16600000000000001</v>
      </c>
      <c r="I109">
        <v>2.86</v>
      </c>
      <c r="J109">
        <v>3.9</v>
      </c>
      <c r="K109">
        <v>7.0000000000000007E-2</v>
      </c>
      <c r="L109">
        <f>C109/(69%*H109)</f>
        <v>305.57010651300857</v>
      </c>
      <c r="M109" s="1">
        <v>8.3999999999999995E-3</v>
      </c>
      <c r="N109" s="13">
        <v>0.14499999999999999</v>
      </c>
    </row>
    <row r="110" spans="2:14" x14ac:dyDescent="0.35">
      <c r="B110" s="24" t="s">
        <v>76</v>
      </c>
      <c r="C110">
        <v>59.4</v>
      </c>
      <c r="D110">
        <v>35.6</v>
      </c>
      <c r="E110">
        <v>7.03</v>
      </c>
      <c r="F110">
        <v>323</v>
      </c>
      <c r="G110">
        <v>3.36</v>
      </c>
      <c r="H110" s="14">
        <v>0.14000000000000001</v>
      </c>
      <c r="I110">
        <v>1.07</v>
      </c>
      <c r="J110">
        <v>2.08</v>
      </c>
      <c r="K110">
        <v>0.06</v>
      </c>
      <c r="L110">
        <f>C110/(72%*H110)</f>
        <v>589.28571428571422</v>
      </c>
      <c r="M110" s="1">
        <v>5.3E-3</v>
      </c>
      <c r="N110" s="13">
        <v>0.14699999999999999</v>
      </c>
    </row>
    <row r="111" spans="2:14" x14ac:dyDescent="0.35">
      <c r="B111" s="24" t="s">
        <v>77</v>
      </c>
      <c r="C111">
        <v>47.4</v>
      </c>
      <c r="D111">
        <v>28.6</v>
      </c>
      <c r="E111">
        <v>11.9</v>
      </c>
      <c r="F111">
        <v>117</v>
      </c>
      <c r="G111">
        <v>2.48</v>
      </c>
      <c r="H111" s="1">
        <v>0.255</v>
      </c>
      <c r="I111">
        <v>4.01</v>
      </c>
      <c r="J111" t="s">
        <v>121</v>
      </c>
      <c r="K111">
        <v>0.05</v>
      </c>
      <c r="L111">
        <f>C111/(67%*H111)</f>
        <v>277.43634767339773</v>
      </c>
      <c r="M111" s="1">
        <v>5.7000000000000002E-3</v>
      </c>
      <c r="N111" s="13">
        <v>0.33200000000000002</v>
      </c>
    </row>
    <row r="112" spans="2:14" x14ac:dyDescent="0.35">
      <c r="B112" s="24" t="s">
        <v>78</v>
      </c>
      <c r="C112">
        <v>29.8</v>
      </c>
      <c r="D112">
        <v>11</v>
      </c>
      <c r="E112">
        <v>1.3</v>
      </c>
      <c r="F112">
        <v>43.2</v>
      </c>
      <c r="G112">
        <v>3.25</v>
      </c>
      <c r="H112" s="1">
        <v>5.91E-2</v>
      </c>
      <c r="I112">
        <v>1.67</v>
      </c>
      <c r="J112">
        <v>2.7</v>
      </c>
      <c r="K112">
        <v>0.82</v>
      </c>
      <c r="L112">
        <f>C112/(97%*H112)</f>
        <v>519.82486437455304</v>
      </c>
      <c r="M112" s="1">
        <v>7.0000000000000001E-3</v>
      </c>
      <c r="N112" s="13">
        <v>7.8200000000000006E-2</v>
      </c>
    </row>
    <row r="113" spans="2:14" x14ac:dyDescent="0.35">
      <c r="B113" s="24" t="s">
        <v>79</v>
      </c>
      <c r="C113">
        <v>25.2</v>
      </c>
      <c r="D113">
        <v>11.4</v>
      </c>
      <c r="E113">
        <v>2.94</v>
      </c>
      <c r="F113">
        <v>1213</v>
      </c>
      <c r="G113">
        <v>0.81</v>
      </c>
      <c r="H113" s="1">
        <v>9.9599999999999994E-2</v>
      </c>
      <c r="I113">
        <v>2.8</v>
      </c>
      <c r="J113">
        <v>4.84</v>
      </c>
      <c r="K113">
        <v>0.03</v>
      </c>
      <c r="L113">
        <f>C113/(100%*H113)</f>
        <v>253.01204819277109</v>
      </c>
      <c r="M113" s="14">
        <v>0</v>
      </c>
      <c r="N113" s="13">
        <v>1.06E-2</v>
      </c>
    </row>
    <row r="114" spans="2:14" x14ac:dyDescent="0.35">
      <c r="B114" s="24" t="s">
        <v>80</v>
      </c>
      <c r="C114">
        <v>27.4</v>
      </c>
      <c r="D114">
        <v>13.7</v>
      </c>
      <c r="E114">
        <v>3.32</v>
      </c>
      <c r="F114">
        <v>704</v>
      </c>
      <c r="G114">
        <v>0.8</v>
      </c>
      <c r="H114" s="1">
        <v>0.12</v>
      </c>
      <c r="I114">
        <v>3.18</v>
      </c>
      <c r="J114">
        <v>2.84</v>
      </c>
      <c r="K114">
        <v>0.03</v>
      </c>
      <c r="L114">
        <f>C114/(74%*H114)</f>
        <v>308.55855855855856</v>
      </c>
      <c r="M114" s="1">
        <v>8.0000000000000002E-3</v>
      </c>
      <c r="N114" s="15">
        <v>0.18</v>
      </c>
    </row>
    <row r="115" spans="2:14" x14ac:dyDescent="0.35">
      <c r="B115" s="24" t="s">
        <v>81</v>
      </c>
      <c r="C115">
        <v>25.5</v>
      </c>
      <c r="D115">
        <v>13.2</v>
      </c>
      <c r="E115">
        <v>2.37</v>
      </c>
      <c r="F115">
        <v>163</v>
      </c>
      <c r="G115">
        <v>1.56</v>
      </c>
      <c r="H115" s="1">
        <v>0.113</v>
      </c>
      <c r="I115">
        <v>2.13</v>
      </c>
      <c r="J115">
        <v>3.12</v>
      </c>
      <c r="K115">
        <v>0.06</v>
      </c>
      <c r="L115">
        <f>C115/(66%*H115)</f>
        <v>341.91472244569587</v>
      </c>
      <c r="M115" s="1">
        <v>1.6500000000000001E-2</v>
      </c>
      <c r="N115" s="13">
        <v>0.11600000000000001</v>
      </c>
    </row>
    <row r="116" spans="2:14" x14ac:dyDescent="0.35">
      <c r="B116" s="24" t="s">
        <v>82</v>
      </c>
      <c r="C116">
        <v>30</v>
      </c>
      <c r="D116">
        <v>9.58</v>
      </c>
      <c r="E116">
        <v>2.79</v>
      </c>
      <c r="F116">
        <v>410</v>
      </c>
      <c r="G116">
        <v>1.18</v>
      </c>
      <c r="H116" s="1">
        <v>0.111</v>
      </c>
      <c r="I116">
        <v>2.33</v>
      </c>
      <c r="J116">
        <v>2.95</v>
      </c>
      <c r="K116">
        <v>0.04</v>
      </c>
      <c r="L116">
        <f>C116/(81%*H116)</f>
        <v>333.66700033366698</v>
      </c>
      <c r="M116" s="1">
        <v>6.1999999999999998E-3</v>
      </c>
      <c r="N116" s="13">
        <v>0.19600000000000001</v>
      </c>
    </row>
    <row r="117" spans="2:14" ht="15" thickBot="1" x14ac:dyDescent="0.4">
      <c r="B117" s="24" t="s">
        <v>83</v>
      </c>
      <c r="C117">
        <v>31.6</v>
      </c>
      <c r="D117">
        <v>23.2</v>
      </c>
      <c r="E117">
        <v>3.64</v>
      </c>
      <c r="F117">
        <v>1211</v>
      </c>
      <c r="G117">
        <v>4.99</v>
      </c>
      <c r="H117" s="1">
        <v>0.128</v>
      </c>
      <c r="I117">
        <v>0.39</v>
      </c>
      <c r="J117">
        <v>25.18</v>
      </c>
      <c r="K117">
        <v>0.17</v>
      </c>
      <c r="L117">
        <f>C117/(75%*H117)</f>
        <v>329.16666666666669</v>
      </c>
      <c r="M117" s="1">
        <v>7.4999999999999997E-3</v>
      </c>
      <c r="N117" s="13">
        <v>0.16500000000000001</v>
      </c>
    </row>
    <row r="118" spans="2:14" ht="15" thickBot="1" x14ac:dyDescent="0.4">
      <c r="B118" s="25" t="s">
        <v>84</v>
      </c>
      <c r="C118" s="2">
        <v>31.1</v>
      </c>
      <c r="D118" s="2">
        <v>14.4</v>
      </c>
      <c r="E118" s="2">
        <v>6.76</v>
      </c>
      <c r="F118" s="2">
        <v>805</v>
      </c>
      <c r="G118" s="2">
        <v>1.47</v>
      </c>
      <c r="H118" s="3">
        <v>0.218</v>
      </c>
      <c r="I118" s="2">
        <v>0.79</v>
      </c>
      <c r="J118" s="2">
        <v>4.8600000000000003</v>
      </c>
      <c r="K118" s="2">
        <v>0.05</v>
      </c>
      <c r="L118" s="2">
        <f>C118/(91%*H118)</f>
        <v>156.76983566891823</v>
      </c>
      <c r="M118" s="3">
        <v>2.3999999999999998E-3</v>
      </c>
      <c r="N118" s="4">
        <v>0.27600000000000002</v>
      </c>
    </row>
    <row r="119" spans="2:14" ht="2.5" customHeight="1" thickBot="1" x14ac:dyDescent="0.4">
      <c r="B119" s="23"/>
      <c r="N119" s="9"/>
    </row>
    <row r="120" spans="2:14" ht="15.5" thickTop="1" thickBot="1" x14ac:dyDescent="0.4">
      <c r="B120" s="22" t="s">
        <v>85</v>
      </c>
      <c r="N120" s="9"/>
    </row>
    <row r="121" spans="2:14" ht="5.15" customHeight="1" thickTop="1" x14ac:dyDescent="0.35">
      <c r="B121" s="23"/>
      <c r="N121" s="9"/>
    </row>
    <row r="122" spans="2:14" x14ac:dyDescent="0.35">
      <c r="B122" s="24" t="s">
        <v>95</v>
      </c>
      <c r="C122">
        <v>39.200000000000003</v>
      </c>
      <c r="D122">
        <v>12.9</v>
      </c>
      <c r="E122">
        <v>10.3</v>
      </c>
      <c r="F122">
        <v>2108</v>
      </c>
      <c r="G122">
        <v>6.5</v>
      </c>
      <c r="H122" s="1">
        <v>0.23200000000000001</v>
      </c>
      <c r="I122">
        <v>3.45</v>
      </c>
      <c r="J122">
        <v>6.86</v>
      </c>
      <c r="K122">
        <v>0.23</v>
      </c>
      <c r="L122">
        <f>C122/(72%*H122)</f>
        <v>234.67432950191574</v>
      </c>
      <c r="M122" s="1">
        <v>7.6E-3</v>
      </c>
      <c r="N122" s="13">
        <v>0.13500000000000001</v>
      </c>
    </row>
    <row r="123" spans="2:14" ht="15" thickBot="1" x14ac:dyDescent="0.4">
      <c r="B123" s="24" t="s">
        <v>96</v>
      </c>
      <c r="D123">
        <v>17.5</v>
      </c>
      <c r="F123">
        <v>10.1</v>
      </c>
      <c r="G123">
        <v>2.48</v>
      </c>
      <c r="I123">
        <v>-3.29</v>
      </c>
      <c r="J123">
        <v>1.77</v>
      </c>
      <c r="K123" t="s">
        <v>121</v>
      </c>
      <c r="L123" t="s">
        <v>121</v>
      </c>
      <c r="M123" s="14">
        <v>0</v>
      </c>
      <c r="N123" s="13">
        <v>-1.9300000000000001E-2</v>
      </c>
    </row>
    <row r="124" spans="2:14" ht="15" thickBot="1" x14ac:dyDescent="0.4">
      <c r="B124" s="43" t="s">
        <v>97</v>
      </c>
      <c r="C124" s="44">
        <v>11.4</v>
      </c>
      <c r="D124" s="44">
        <v>6.09</v>
      </c>
      <c r="E124" s="44">
        <v>2.92</v>
      </c>
      <c r="F124" s="44">
        <v>403</v>
      </c>
      <c r="G124" s="44">
        <v>3.37</v>
      </c>
      <c r="H124" s="45">
        <v>0.32500000000000001</v>
      </c>
      <c r="I124" s="44">
        <v>0.86</v>
      </c>
      <c r="J124" s="44">
        <v>18.059999999999999</v>
      </c>
      <c r="K124" s="44">
        <v>0.3</v>
      </c>
      <c r="L124" s="44">
        <f>C124/(100%*H124)</f>
        <v>35.07692307692308</v>
      </c>
      <c r="M124" s="51">
        <v>0</v>
      </c>
      <c r="N124" s="52">
        <v>0.28999999999999998</v>
      </c>
    </row>
    <row r="125" spans="2:14" ht="15" thickBot="1" x14ac:dyDescent="0.4">
      <c r="B125" s="24" t="s">
        <v>98</v>
      </c>
      <c r="C125">
        <v>54.8</v>
      </c>
      <c r="D125">
        <v>19.3</v>
      </c>
      <c r="E125">
        <v>14.1</v>
      </c>
      <c r="F125">
        <v>1758</v>
      </c>
      <c r="G125">
        <v>9.64</v>
      </c>
      <c r="H125" s="1">
        <v>0.252</v>
      </c>
      <c r="I125">
        <v>2.04</v>
      </c>
      <c r="J125">
        <v>10.42</v>
      </c>
      <c r="K125">
        <v>0.17</v>
      </c>
      <c r="L125">
        <f>C125/(67%*H125)</f>
        <v>324.56763800047378</v>
      </c>
      <c r="M125" s="1">
        <v>5.7000000000000002E-3</v>
      </c>
      <c r="N125" s="13">
        <v>0.17399999999999999</v>
      </c>
    </row>
    <row r="126" spans="2:14" ht="15" thickBot="1" x14ac:dyDescent="0.4">
      <c r="B126" s="25" t="s">
        <v>99</v>
      </c>
      <c r="C126" s="2">
        <v>52.8</v>
      </c>
      <c r="D126" s="2">
        <v>13.9</v>
      </c>
      <c r="E126" s="2">
        <v>18.5</v>
      </c>
      <c r="F126" s="2">
        <v>1848</v>
      </c>
      <c r="G126" s="2">
        <v>2.21</v>
      </c>
      <c r="H126" s="3">
        <v>0.55200000000000005</v>
      </c>
      <c r="I126" s="2">
        <v>8.5500000000000007</v>
      </c>
      <c r="J126" s="2">
        <v>9.7200000000000006</v>
      </c>
      <c r="K126" s="2">
        <v>7.0000000000000007E-2</v>
      </c>
      <c r="L126" s="2">
        <f>C126/(61%*H126)</f>
        <v>156.80684248039913</v>
      </c>
      <c r="M126" s="3">
        <v>1.38E-2</v>
      </c>
      <c r="N126" s="4">
        <v>0.14799999999999999</v>
      </c>
    </row>
    <row r="127" spans="2:14" x14ac:dyDescent="0.35">
      <c r="B127" s="24" t="s">
        <v>100</v>
      </c>
      <c r="C127">
        <v>52.5</v>
      </c>
      <c r="D127">
        <v>9.49</v>
      </c>
      <c r="E127">
        <v>3.54</v>
      </c>
      <c r="F127">
        <v>154</v>
      </c>
      <c r="G127">
        <v>1.95</v>
      </c>
      <c r="H127" s="1">
        <v>5.7000000000000002E-2</v>
      </c>
      <c r="I127">
        <v>4.57</v>
      </c>
      <c r="J127">
        <v>3.37</v>
      </c>
      <c r="K127">
        <v>0.04</v>
      </c>
      <c r="L127">
        <f>C127/(100%*H127)</f>
        <v>921.05263157894728</v>
      </c>
      <c r="M127" s="1">
        <v>5.5899999999999998E-2</v>
      </c>
      <c r="N127" s="13">
        <v>8.1699999999999995E-2</v>
      </c>
    </row>
    <row r="128" spans="2:14" x14ac:dyDescent="0.35">
      <c r="B128" s="24" t="s">
        <v>114</v>
      </c>
      <c r="D128">
        <v>131</v>
      </c>
      <c r="E128">
        <v>2.73</v>
      </c>
      <c r="F128">
        <v>509</v>
      </c>
      <c r="G128">
        <v>1.8</v>
      </c>
      <c r="H128" s="1">
        <v>0.128</v>
      </c>
      <c r="I128">
        <v>1.97</v>
      </c>
      <c r="J128">
        <v>1.62</v>
      </c>
      <c r="K128" t="s">
        <v>121</v>
      </c>
      <c r="L128" t="s">
        <v>121</v>
      </c>
      <c r="M128" s="1">
        <v>5.1000000000000004E-3</v>
      </c>
      <c r="N128" s="13">
        <v>0.155</v>
      </c>
    </row>
    <row r="129" spans="2:14" x14ac:dyDescent="0.35">
      <c r="B129" s="24" t="s">
        <v>101</v>
      </c>
      <c r="C129">
        <v>34.4</v>
      </c>
      <c r="D129">
        <v>17.2</v>
      </c>
      <c r="E129">
        <v>5.26</v>
      </c>
      <c r="F129">
        <v>347</v>
      </c>
      <c r="G129">
        <v>2.95</v>
      </c>
      <c r="H129" s="1">
        <v>0.16500000000000001</v>
      </c>
      <c r="I129">
        <v>1.39</v>
      </c>
      <c r="J129">
        <v>191.25</v>
      </c>
      <c r="K129">
        <v>0.08</v>
      </c>
      <c r="L129">
        <f>C129/(69%*H129)</f>
        <v>302.15195432586739</v>
      </c>
      <c r="M129" s="1">
        <v>8.3999999999999995E-3</v>
      </c>
      <c r="N129" s="13">
        <v>0.218</v>
      </c>
    </row>
    <row r="130" spans="2:14" x14ac:dyDescent="0.35">
      <c r="B130" s="24" t="s">
        <v>102</v>
      </c>
      <c r="C130">
        <v>370</v>
      </c>
      <c r="D130">
        <v>29.2</v>
      </c>
      <c r="E130">
        <v>2.52</v>
      </c>
      <c r="F130">
        <v>71.400000000000006</v>
      </c>
      <c r="G130">
        <v>2.76</v>
      </c>
      <c r="H130" s="1">
        <v>4.4199999999999996E-2</v>
      </c>
      <c r="I130">
        <v>0.93</v>
      </c>
      <c r="J130">
        <v>2.12</v>
      </c>
      <c r="K130">
        <v>0.01</v>
      </c>
      <c r="L130">
        <f>C130/(92%*H130)</f>
        <v>9098.9573086759792</v>
      </c>
      <c r="M130" s="1">
        <v>1.4E-3</v>
      </c>
      <c r="N130" s="13">
        <v>7.5499999999999998E-2</v>
      </c>
    </row>
    <row r="131" spans="2:14" ht="15" thickBot="1" x14ac:dyDescent="0.4">
      <c r="B131" s="26" t="s">
        <v>115</v>
      </c>
      <c r="C131" s="16">
        <v>57.9</v>
      </c>
      <c r="D131" s="16">
        <v>36.4</v>
      </c>
      <c r="E131" s="16">
        <v>11</v>
      </c>
      <c r="F131" s="16">
        <v>693</v>
      </c>
      <c r="G131" s="16">
        <v>12.6</v>
      </c>
      <c r="H131" s="17">
        <v>0.161</v>
      </c>
      <c r="I131" s="16">
        <v>0.19</v>
      </c>
      <c r="J131" s="16">
        <v>103</v>
      </c>
      <c r="K131" s="16">
        <v>0.22</v>
      </c>
      <c r="L131" s="16">
        <f>C131/(88%*H131)</f>
        <v>408.66741953698477</v>
      </c>
      <c r="M131" s="17">
        <v>1.4E-3</v>
      </c>
      <c r="N131" s="18">
        <v>0.21099999999999999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C6E9-2630-4159-8802-2C644F0FEC81}">
  <dimension ref="A1:AK277"/>
  <sheetViews>
    <sheetView topLeftCell="M1" zoomScale="114" zoomScaleNormal="114" workbookViewId="0">
      <selection activeCell="AA3" sqref="AA3"/>
    </sheetView>
  </sheetViews>
  <sheetFormatPr defaultRowHeight="14.5" x14ac:dyDescent="0.35"/>
  <cols>
    <col min="1" max="1" width="18.26953125" customWidth="1"/>
    <col min="2" max="6" width="10.36328125" bestFit="1" customWidth="1"/>
    <col min="7" max="7" width="13.6328125" customWidth="1"/>
    <col min="8" max="10" width="10.36328125" bestFit="1" customWidth="1"/>
    <col min="11" max="11" width="12.90625" customWidth="1"/>
    <col min="15" max="15" width="34.26953125" bestFit="1" customWidth="1"/>
    <col min="16" max="16" width="14.90625" bestFit="1" customWidth="1"/>
    <col min="17" max="17" width="23.26953125" bestFit="1" customWidth="1"/>
    <col min="18" max="18" width="14.1796875" bestFit="1" customWidth="1"/>
    <col min="19" max="19" width="14.08984375" bestFit="1" customWidth="1"/>
    <col min="20" max="20" width="18.36328125" customWidth="1"/>
    <col min="21" max="21" width="17.81640625" customWidth="1"/>
    <col min="23" max="23" width="16.1796875" customWidth="1"/>
    <col min="25" max="25" width="28.26953125" customWidth="1"/>
    <col min="26" max="26" width="15.7265625" customWidth="1"/>
    <col min="27" max="27" width="23.1796875" customWidth="1"/>
    <col min="28" max="28" width="13.453125" customWidth="1"/>
    <col min="30" max="30" width="12.90625" bestFit="1" customWidth="1"/>
    <col min="35" max="35" width="13.453125" bestFit="1" customWidth="1"/>
    <col min="36" max="36" width="16.81640625" bestFit="1" customWidth="1"/>
    <col min="37" max="37" width="13.453125" bestFit="1" customWidth="1"/>
  </cols>
  <sheetData>
    <row r="1" spans="1:37" ht="15" thickBot="1" x14ac:dyDescent="0.4">
      <c r="A1" s="34"/>
      <c r="B1" s="33" t="s">
        <v>146</v>
      </c>
      <c r="C1" s="32" t="s">
        <v>147</v>
      </c>
      <c r="D1" s="32" t="s">
        <v>148</v>
      </c>
      <c r="E1" s="32" t="s">
        <v>149</v>
      </c>
      <c r="F1" s="32" t="s">
        <v>150</v>
      </c>
      <c r="G1" s="32" t="s">
        <v>151</v>
      </c>
      <c r="H1" s="32" t="s">
        <v>152</v>
      </c>
      <c r="I1" s="32" t="s">
        <v>154</v>
      </c>
      <c r="J1" s="30" t="s">
        <v>127</v>
      </c>
      <c r="K1" s="32" t="s">
        <v>153</v>
      </c>
      <c r="L1" s="33" t="s">
        <v>132</v>
      </c>
      <c r="O1" s="25" t="s">
        <v>133</v>
      </c>
      <c r="P1" s="39" t="s">
        <v>146</v>
      </c>
      <c r="Q1" s="39" t="s">
        <v>147</v>
      </c>
      <c r="R1" s="39" t="s">
        <v>148</v>
      </c>
      <c r="S1" s="39" t="s">
        <v>149</v>
      </c>
      <c r="T1" s="39" t="s">
        <v>150</v>
      </c>
      <c r="U1" s="39" t="s">
        <v>151</v>
      </c>
      <c r="V1" s="39" t="s">
        <v>152</v>
      </c>
      <c r="W1" s="39" t="s">
        <v>155</v>
      </c>
      <c r="X1" s="39" t="s">
        <v>127</v>
      </c>
      <c r="Y1" s="39" t="s">
        <v>153</v>
      </c>
      <c r="Z1" s="25" t="s">
        <v>132</v>
      </c>
      <c r="AI1" s="32" t="s">
        <v>150</v>
      </c>
      <c r="AJ1" s="32" t="s">
        <v>151</v>
      </c>
      <c r="AK1" s="30" t="s">
        <v>127</v>
      </c>
    </row>
    <row r="2" spans="1:37" x14ac:dyDescent="0.35">
      <c r="A2" s="27" t="s">
        <v>125</v>
      </c>
      <c r="B2" t="s">
        <v>126</v>
      </c>
      <c r="C2" t="s">
        <v>126</v>
      </c>
      <c r="D2" t="s">
        <v>126</v>
      </c>
      <c r="E2" t="s">
        <v>126</v>
      </c>
      <c r="F2" t="s">
        <v>126</v>
      </c>
      <c r="G2" t="s">
        <v>126</v>
      </c>
      <c r="H2" t="s">
        <v>126</v>
      </c>
      <c r="I2" t="s">
        <v>126</v>
      </c>
      <c r="J2" s="27" t="s">
        <v>126</v>
      </c>
      <c r="K2" t="s">
        <v>126</v>
      </c>
      <c r="L2" t="s">
        <v>126</v>
      </c>
      <c r="O2" s="24" t="s">
        <v>129</v>
      </c>
      <c r="P2" s="10">
        <f>AVERAGE(B3:B271)</f>
        <v>4.7137546468401518E-4</v>
      </c>
      <c r="Q2" s="10">
        <f t="shared" ref="Q2:Y2" si="0">AVERAGE(C3:C271)</f>
        <v>-8.8773234200743487E-4</v>
      </c>
      <c r="R2" s="10">
        <f t="shared" si="0"/>
        <v>-5.576208178438673E-5</v>
      </c>
      <c r="S2" s="10">
        <f t="shared" si="0"/>
        <v>6.3234200743494343E-4</v>
      </c>
      <c r="T2" s="10">
        <f t="shared" si="0"/>
        <v>1.2163568773234205E-3</v>
      </c>
      <c r="U2" s="10">
        <f t="shared" si="0"/>
        <v>1.2921933085501853E-3</v>
      </c>
      <c r="V2" s="10">
        <f t="shared" si="0"/>
        <v>-2.3717472118959146E-4</v>
      </c>
      <c r="W2" s="10">
        <f t="shared" si="0"/>
        <v>-2.0334572490706296E-4</v>
      </c>
      <c r="X2" s="10">
        <f t="shared" si="0"/>
        <v>1.9828996282527885E-3</v>
      </c>
      <c r="Y2" s="87">
        <f t="shared" si="0"/>
        <v>2.2639405204461012E-4</v>
      </c>
      <c r="Z2" s="88">
        <f>AVERAGE(L3:L271)</f>
        <v>2.8513011152416385E-4</v>
      </c>
      <c r="AI2">
        <v>4.4999999999999997E-3</v>
      </c>
      <c r="AJ2">
        <v>-4.3E-3</v>
      </c>
      <c r="AK2">
        <v>3.7699999999999997E-2</v>
      </c>
    </row>
    <row r="3" spans="1:37" x14ac:dyDescent="0.35">
      <c r="A3" s="61">
        <v>45989</v>
      </c>
      <c r="B3">
        <v>-4.1999999999999997E-3</v>
      </c>
      <c r="C3">
        <v>2.9999999999999997E-4</v>
      </c>
      <c r="D3">
        <v>-6.4000000000000003E-3</v>
      </c>
      <c r="E3">
        <v>-2.5999999999999999E-3</v>
      </c>
      <c r="F3">
        <v>4.4999999999999997E-3</v>
      </c>
      <c r="G3">
        <v>-4.3E-3</v>
      </c>
      <c r="H3">
        <v>2.24E-2</v>
      </c>
      <c r="I3">
        <v>-1.0699999999999999E-2</v>
      </c>
      <c r="J3">
        <v>3.7699999999999997E-2</v>
      </c>
      <c r="K3">
        <v>-1.4999999999999999E-2</v>
      </c>
      <c r="L3">
        <v>-5.0000000000000001E-4</v>
      </c>
      <c r="O3" s="24" t="s">
        <v>128</v>
      </c>
      <c r="P3" s="10">
        <f>P2*250</f>
        <v>0.1178438661710038</v>
      </c>
      <c r="Q3" s="10">
        <f>Q2*250</f>
        <v>-0.22193308550185872</v>
      </c>
      <c r="R3" s="10">
        <f t="shared" ref="R3:X3" si="1">R2*250</f>
        <v>-1.3940520446096682E-2</v>
      </c>
      <c r="S3" s="10">
        <f t="shared" si="1"/>
        <v>0.15808550185873585</v>
      </c>
      <c r="T3" s="10">
        <f t="shared" si="1"/>
        <v>0.30408921933085514</v>
      </c>
      <c r="U3" s="10">
        <f t="shared" si="1"/>
        <v>0.32304832713754633</v>
      </c>
      <c r="V3" s="10">
        <f t="shared" si="1"/>
        <v>-5.9293680297397865E-2</v>
      </c>
      <c r="W3" s="10">
        <f t="shared" si="1"/>
        <v>-5.0836431226765739E-2</v>
      </c>
      <c r="X3" s="10">
        <f t="shared" si="1"/>
        <v>0.49572490706319716</v>
      </c>
      <c r="Y3" s="10">
        <f t="shared" ref="Q3:Y3" si="2">K275</f>
        <v>5.6598513011152526E-2</v>
      </c>
      <c r="Z3" s="59">
        <f>L275</f>
        <v>7.1282527881040961E-2</v>
      </c>
      <c r="AI3">
        <v>3.8E-3</v>
      </c>
      <c r="AJ3">
        <v>-3.3E-3</v>
      </c>
      <c r="AK3">
        <v>2.1899999999999999E-2</v>
      </c>
    </row>
    <row r="4" spans="1:37" x14ac:dyDescent="0.35">
      <c r="A4" s="61">
        <v>45988</v>
      </c>
      <c r="B4">
        <v>-8.0999999999999996E-3</v>
      </c>
      <c r="C4">
        <v>-8.3000000000000001E-3</v>
      </c>
      <c r="D4">
        <v>6.1000000000000004E-3</v>
      </c>
      <c r="E4">
        <v>-6.7999999999999996E-3</v>
      </c>
      <c r="F4">
        <v>3.8E-3</v>
      </c>
      <c r="G4">
        <v>-3.3E-3</v>
      </c>
      <c r="H4">
        <v>9.1000000000000004E-3</v>
      </c>
      <c r="I4">
        <v>1.0800000000000001E-2</v>
      </c>
      <c r="J4">
        <v>2.1899999999999999E-2</v>
      </c>
      <c r="K4">
        <v>-4.4000000000000003E-3</v>
      </c>
      <c r="L4">
        <v>4.0000000000000002E-4</v>
      </c>
      <c r="O4" s="24" t="s">
        <v>130</v>
      </c>
      <c r="P4">
        <f>_xlfn.STDEV.S(B3:B271)</f>
        <v>1.2170960298742864E-2</v>
      </c>
      <c r="Q4">
        <f>_xlfn.STDEV.S(C3:C271)</f>
        <v>1.2959634449413315E-2</v>
      </c>
      <c r="R4">
        <f t="shared" ref="R4:Z4" si="3">_xlfn.STDEV.S(D3:D271)</f>
        <v>1.4540928285562455E-2</v>
      </c>
      <c r="S4">
        <f t="shared" si="3"/>
        <v>1.3382207030864632E-2</v>
      </c>
      <c r="T4">
        <f t="shared" si="3"/>
        <v>1.8905052237721248E-2</v>
      </c>
      <c r="U4">
        <f t="shared" si="3"/>
        <v>3.1792309546348645E-2</v>
      </c>
      <c r="V4">
        <f t="shared" si="3"/>
        <v>2.1611043356883304E-2</v>
      </c>
      <c r="W4">
        <f t="shared" si="3"/>
        <v>2.302547963984581E-2</v>
      </c>
      <c r="X4">
        <f t="shared" si="3"/>
        <v>2.4901264828683822E-2</v>
      </c>
      <c r="Y4" s="89">
        <f t="shared" si="3"/>
        <v>1.8273482398370223E-2</v>
      </c>
      <c r="Z4" s="90">
        <f t="shared" si="3"/>
        <v>7.7923135971092947E-3</v>
      </c>
      <c r="AI4">
        <v>2.5999999999999999E-3</v>
      </c>
      <c r="AJ4">
        <v>1.21E-2</v>
      </c>
      <c r="AK4">
        <v>2.5999999999999999E-2</v>
      </c>
    </row>
    <row r="5" spans="1:37" x14ac:dyDescent="0.35">
      <c r="A5" s="61">
        <v>45987</v>
      </c>
      <c r="B5">
        <v>1.0800000000000001E-2</v>
      </c>
      <c r="C5">
        <v>1.4E-2</v>
      </c>
      <c r="D5">
        <v>-3.2000000000000002E-3</v>
      </c>
      <c r="E5">
        <v>2.8E-3</v>
      </c>
      <c r="F5">
        <v>2.5999999999999999E-3</v>
      </c>
      <c r="G5">
        <v>1.21E-2</v>
      </c>
      <c r="H5">
        <v>1.6500000000000001E-2</v>
      </c>
      <c r="I5">
        <v>1.5E-3</v>
      </c>
      <c r="J5">
        <v>2.5999999999999999E-2</v>
      </c>
      <c r="K5">
        <v>1.37E-2</v>
      </c>
      <c r="L5">
        <v>1.24E-2</v>
      </c>
      <c r="O5" s="24" t="s">
        <v>131</v>
      </c>
      <c r="P5">
        <f>P4*SQRT(250)</f>
        <v>0.1924397792775541</v>
      </c>
      <c r="Q5">
        <f>Q4*SQRT(250)</f>
        <v>0.20490981251664131</v>
      </c>
      <c r="R5">
        <f t="shared" ref="R5:Z5" si="4">R4*SQRT(250)</f>
        <v>0.22991226337772322</v>
      </c>
      <c r="S5">
        <f t="shared" si="4"/>
        <v>0.21159127168725722</v>
      </c>
      <c r="T5">
        <f t="shared" si="4"/>
        <v>0.29891512177831064</v>
      </c>
      <c r="U5">
        <f t="shared" si="4"/>
        <v>0.50268055121788113</v>
      </c>
      <c r="V5">
        <f t="shared" si="4"/>
        <v>0.34170059810201164</v>
      </c>
      <c r="W5">
        <f t="shared" si="4"/>
        <v>0.36406479939873132</v>
      </c>
      <c r="X5">
        <f t="shared" si="4"/>
        <v>0.39372356738841718</v>
      </c>
      <c r="Y5" s="89">
        <f t="shared" si="4"/>
        <v>0.28892912580923125</v>
      </c>
      <c r="Z5" s="90">
        <f t="shared" si="4"/>
        <v>0.12320729604582513</v>
      </c>
      <c r="AI5">
        <v>-1.6000000000000001E-3</v>
      </c>
      <c r="AJ5">
        <v>9.5999999999999992E-3</v>
      </c>
      <c r="AK5">
        <v>-2.8E-3</v>
      </c>
    </row>
    <row r="6" spans="1:37" x14ac:dyDescent="0.35">
      <c r="A6" s="61">
        <v>45986</v>
      </c>
      <c r="B6">
        <v>-4.7000000000000002E-3</v>
      </c>
      <c r="C6">
        <v>-7.0000000000000001E-3</v>
      </c>
      <c r="D6">
        <v>2.8999999999999998E-3</v>
      </c>
      <c r="E6">
        <v>7.1999999999999998E-3</v>
      </c>
      <c r="F6">
        <v>-1.6000000000000001E-3</v>
      </c>
      <c r="G6">
        <v>9.5999999999999992E-3</v>
      </c>
      <c r="H6">
        <v>1.89E-2</v>
      </c>
      <c r="I6">
        <v>3.7000000000000002E-3</v>
      </c>
      <c r="J6">
        <v>-2.8E-3</v>
      </c>
      <c r="K6">
        <v>-2.92E-2</v>
      </c>
      <c r="L6">
        <v>-2.8999999999999998E-3</v>
      </c>
      <c r="O6" s="24" t="s">
        <v>134</v>
      </c>
      <c r="P6" s="11">
        <f t="shared" ref="P6:Z6" si="5">SLOPE(B3:B271,$L$3:$L$271)</f>
        <v>0.71446107847479068</v>
      </c>
      <c r="Q6" s="11">
        <f t="shared" si="5"/>
        <v>0.94717928947804375</v>
      </c>
      <c r="R6" s="11">
        <f t="shared" si="5"/>
        <v>0.84931337243600047</v>
      </c>
      <c r="S6" s="11">
        <f t="shared" si="5"/>
        <v>0.60866029934584065</v>
      </c>
      <c r="T6" s="11">
        <f t="shared" si="5"/>
        <v>0.78374946350457575</v>
      </c>
      <c r="U6" s="11">
        <f t="shared" si="5"/>
        <v>1.1587776175353603</v>
      </c>
      <c r="V6" s="11">
        <f t="shared" si="5"/>
        <v>1.3135126047749488</v>
      </c>
      <c r="W6" s="11">
        <f t="shared" si="5"/>
        <v>0.7670931123867607</v>
      </c>
      <c r="X6" s="11">
        <f t="shared" si="5"/>
        <v>0.9368322442661059</v>
      </c>
      <c r="Y6" s="11">
        <f t="shared" si="5"/>
        <v>1.0273013606313033</v>
      </c>
      <c r="Z6" s="60">
        <f t="shared" si="5"/>
        <v>1</v>
      </c>
      <c r="AI6">
        <v>-1.35E-2</v>
      </c>
      <c r="AJ6">
        <v>-2.47E-2</v>
      </c>
      <c r="AK6">
        <v>-5.4999999999999997E-3</v>
      </c>
    </row>
    <row r="7" spans="1:37" x14ac:dyDescent="0.35">
      <c r="A7" s="61">
        <v>45985</v>
      </c>
      <c r="B7">
        <v>-8.9999999999999993E-3</v>
      </c>
      <c r="C7">
        <v>-3.0000000000000001E-3</v>
      </c>
      <c r="D7">
        <v>-8.0999999999999996E-3</v>
      </c>
      <c r="E7">
        <v>8.6999999999999994E-3</v>
      </c>
      <c r="F7">
        <v>-1.35E-2</v>
      </c>
      <c r="G7">
        <v>-2.47E-2</v>
      </c>
      <c r="H7">
        <v>-9.4000000000000004E-3</v>
      </c>
      <c r="I7">
        <v>1.9E-3</v>
      </c>
      <c r="J7">
        <v>-5.4999999999999997E-3</v>
      </c>
      <c r="K7">
        <v>-2.0899999999999998E-2</v>
      </c>
      <c r="L7">
        <v>-4.1999999999999997E-3</v>
      </c>
      <c r="O7" s="24" t="s">
        <v>135</v>
      </c>
      <c r="P7">
        <f>P6^2*($Z$5)</f>
        <v>6.2891735043531974E-2</v>
      </c>
      <c r="Q7">
        <f t="shared" ref="Q7:Z7" si="6">Q6^2*($Z$5)</f>
        <v>0.1105352539478118</v>
      </c>
      <c r="R7">
        <f t="shared" si="6"/>
        <v>8.887351368666499E-2</v>
      </c>
      <c r="S7">
        <f t="shared" si="6"/>
        <v>4.5644281698806737E-2</v>
      </c>
      <c r="T7">
        <f t="shared" si="6"/>
        <v>7.5681710586798179E-2</v>
      </c>
      <c r="U7">
        <f t="shared" si="6"/>
        <v>0.16543851472130258</v>
      </c>
      <c r="V7">
        <f t="shared" si="6"/>
        <v>0.2125714406895596</v>
      </c>
      <c r="W7">
        <f t="shared" si="6"/>
        <v>7.2499096292064774E-2</v>
      </c>
      <c r="X7">
        <f t="shared" si="6"/>
        <v>0.10813345676864305</v>
      </c>
      <c r="Y7">
        <f t="shared" si="6"/>
        <v>0.1300265840083607</v>
      </c>
      <c r="Z7" s="23">
        <f t="shared" si="6"/>
        <v>0.12320729604582513</v>
      </c>
      <c r="AI7">
        <v>-5.9999999999999995E-4</v>
      </c>
      <c r="AJ7">
        <v>-1.54E-2</v>
      </c>
      <c r="AK7">
        <v>-3.95E-2</v>
      </c>
    </row>
    <row r="8" spans="1:37" x14ac:dyDescent="0.35">
      <c r="A8" s="61">
        <v>45982</v>
      </c>
      <c r="B8">
        <v>1.1999999999999999E-3</v>
      </c>
      <c r="C8">
        <v>1.8E-3</v>
      </c>
      <c r="D8">
        <v>-6.4999999999999997E-3</v>
      </c>
      <c r="E8">
        <v>-9.4000000000000004E-3</v>
      </c>
      <c r="F8">
        <v>-5.9999999999999995E-4</v>
      </c>
      <c r="G8">
        <v>-1.54E-2</v>
      </c>
      <c r="H8">
        <v>-2.93E-2</v>
      </c>
      <c r="I8">
        <v>-1.23E-2</v>
      </c>
      <c r="J8">
        <v>-3.95E-2</v>
      </c>
      <c r="K8">
        <v>1.8E-3</v>
      </c>
      <c r="L8">
        <v>-4.7000000000000002E-3</v>
      </c>
      <c r="O8" s="24" t="s">
        <v>136</v>
      </c>
      <c r="P8" s="74">
        <f>P5-P7</f>
        <v>0.12954804423402211</v>
      </c>
      <c r="Q8" s="11">
        <f t="shared" ref="Q8:Z8" si="7">Q5-Q7</f>
        <v>9.4374558568829509E-2</v>
      </c>
      <c r="R8" s="11">
        <f t="shared" si="7"/>
        <v>0.14103874969105823</v>
      </c>
      <c r="S8" s="11">
        <f t="shared" si="7"/>
        <v>0.16594698998845048</v>
      </c>
      <c r="T8" s="11">
        <f t="shared" si="7"/>
        <v>0.22323341119151247</v>
      </c>
      <c r="U8" s="11">
        <f t="shared" si="7"/>
        <v>0.33724203649657858</v>
      </c>
      <c r="V8" s="11">
        <f t="shared" si="7"/>
        <v>0.12912915741245204</v>
      </c>
      <c r="W8" s="11">
        <f t="shared" si="7"/>
        <v>0.29156570310666652</v>
      </c>
      <c r="X8" s="11">
        <f t="shared" si="7"/>
        <v>0.28559011061977413</v>
      </c>
      <c r="Y8" s="11">
        <f t="shared" si="7"/>
        <v>0.15890254180087054</v>
      </c>
      <c r="Z8" s="60">
        <f t="shared" si="7"/>
        <v>0</v>
      </c>
      <c r="AI8">
        <v>-3.4599999999999999E-2</v>
      </c>
      <c r="AJ8">
        <v>-1E-3</v>
      </c>
      <c r="AK8">
        <v>-7.0000000000000001E-3</v>
      </c>
    </row>
    <row r="9" spans="1:37" x14ac:dyDescent="0.35">
      <c r="A9" s="61">
        <v>45981</v>
      </c>
      <c r="B9">
        <v>2.0000000000000001E-4</v>
      </c>
      <c r="C9">
        <v>-8.9999999999999998E-4</v>
      </c>
      <c r="D9">
        <v>-6.3E-3</v>
      </c>
      <c r="E9">
        <v>-2.7000000000000001E-3</v>
      </c>
      <c r="F9">
        <v>-3.4599999999999999E-2</v>
      </c>
      <c r="G9">
        <v>-1E-3</v>
      </c>
      <c r="H9">
        <v>-9.1999999999999998E-3</v>
      </c>
      <c r="I9">
        <v>-3.8E-3</v>
      </c>
      <c r="J9">
        <v>-7.0000000000000001E-3</v>
      </c>
      <c r="K9">
        <v>2.23E-2</v>
      </c>
      <c r="L9">
        <v>5.4000000000000003E-3</v>
      </c>
      <c r="O9" s="24" t="s">
        <v>161</v>
      </c>
      <c r="P9">
        <f>(P3-6%)/P6</f>
        <v>8.0961535783708599E-2</v>
      </c>
      <c r="Q9">
        <f t="shared" ref="Q9:Y9" si="8">(Q3-7%)/Q6</f>
        <v>-0.30821312157567599</v>
      </c>
      <c r="R9">
        <f t="shared" si="8"/>
        <v>-9.8833390795836057E-2</v>
      </c>
      <c r="S9">
        <f t="shared" si="8"/>
        <v>0.14472030121466109</v>
      </c>
      <c r="T9">
        <f t="shared" si="8"/>
        <v>0.29867863422083024</v>
      </c>
      <c r="U9">
        <f t="shared" si="8"/>
        <v>0.21837522861009567</v>
      </c>
      <c r="V9">
        <f t="shared" si="8"/>
        <v>-9.8433528408774174E-2</v>
      </c>
      <c r="W9">
        <f t="shared" si="8"/>
        <v>-0.15752511562878069</v>
      </c>
      <c r="X9">
        <f t="shared" si="8"/>
        <v>0.45443024582987196</v>
      </c>
      <c r="Y9">
        <f t="shared" si="8"/>
        <v>-1.3045331683987959E-2</v>
      </c>
      <c r="Z9" s="23"/>
      <c r="AI9">
        <v>1.3100000000000001E-2</v>
      </c>
      <c r="AJ9">
        <v>1.38E-2</v>
      </c>
      <c r="AK9">
        <v>1.7999999999999999E-2</v>
      </c>
    </row>
    <row r="10" spans="1:37" ht="15" thickBot="1" x14ac:dyDescent="0.4">
      <c r="A10" s="61">
        <v>45980</v>
      </c>
      <c r="B10">
        <v>1.0999999999999999E-2</v>
      </c>
      <c r="C10">
        <v>1.9599999999999999E-2</v>
      </c>
      <c r="D10">
        <v>-1.6000000000000001E-3</v>
      </c>
      <c r="E10">
        <v>-1.5699999999999999E-2</v>
      </c>
      <c r="F10">
        <v>1.3100000000000001E-2</v>
      </c>
      <c r="G10">
        <v>1.38E-2</v>
      </c>
      <c r="H10">
        <v>1.2999999999999999E-3</v>
      </c>
      <c r="I10">
        <v>2.0999999999999999E-3</v>
      </c>
      <c r="J10">
        <v>1.7999999999999999E-2</v>
      </c>
      <c r="K10">
        <v>-2.8999999999999998E-3</v>
      </c>
      <c r="L10">
        <v>5.4999999999999997E-3</v>
      </c>
      <c r="O10" s="26" t="s">
        <v>138</v>
      </c>
      <c r="P10" s="16">
        <f>_xlfn.RANK.EQ(P9,$P$9:$Y$9,0)</f>
        <v>5</v>
      </c>
      <c r="Q10" s="16">
        <f t="shared" ref="Q10:Y10" si="9">_xlfn.RANK.EQ(Q9,$P$9:$Y$9,0)</f>
        <v>10</v>
      </c>
      <c r="R10" s="16">
        <f t="shared" si="9"/>
        <v>8</v>
      </c>
      <c r="S10" s="16">
        <f t="shared" si="9"/>
        <v>4</v>
      </c>
      <c r="T10" s="16">
        <f t="shared" si="9"/>
        <v>2</v>
      </c>
      <c r="U10" s="16">
        <f t="shared" si="9"/>
        <v>3</v>
      </c>
      <c r="V10" s="16">
        <f t="shared" si="9"/>
        <v>7</v>
      </c>
      <c r="W10" s="16">
        <f t="shared" si="9"/>
        <v>9</v>
      </c>
      <c r="X10" s="16">
        <f t="shared" si="9"/>
        <v>1</v>
      </c>
      <c r="Y10" s="16">
        <f t="shared" si="9"/>
        <v>6</v>
      </c>
      <c r="Z10" s="31"/>
      <c r="AI10">
        <v>4.7000000000000002E-3</v>
      </c>
      <c r="AJ10">
        <v>-2.4299999999999999E-2</v>
      </c>
      <c r="AK10">
        <v>-4.6699999999999998E-2</v>
      </c>
    </row>
    <row r="11" spans="1:37" ht="15" thickBot="1" x14ac:dyDescent="0.4">
      <c r="A11" s="61">
        <v>45979</v>
      </c>
      <c r="B11">
        <v>-4.1000000000000003E-3</v>
      </c>
      <c r="C11">
        <v>-4.8999999999999998E-3</v>
      </c>
      <c r="D11">
        <v>2.0000000000000001E-4</v>
      </c>
      <c r="E11">
        <v>-7.4999999999999997E-3</v>
      </c>
      <c r="F11">
        <v>4.7000000000000002E-3</v>
      </c>
      <c r="G11">
        <v>-2.4299999999999999E-2</v>
      </c>
      <c r="H11">
        <v>-1.6400000000000001E-2</v>
      </c>
      <c r="I11">
        <v>-4.5999999999999999E-3</v>
      </c>
      <c r="J11">
        <v>-4.6699999999999998E-2</v>
      </c>
      <c r="K11">
        <v>-1.3599999999999999E-2</v>
      </c>
      <c r="L11">
        <v>-4.0000000000000001E-3</v>
      </c>
      <c r="AI11">
        <v>9.4999999999999998E-3</v>
      </c>
      <c r="AJ11">
        <v>-4.1000000000000003E-3</v>
      </c>
      <c r="AK11">
        <v>1.8700000000000001E-2</v>
      </c>
    </row>
    <row r="12" spans="1:37" ht="15" thickBot="1" x14ac:dyDescent="0.4">
      <c r="A12" s="61">
        <v>45978</v>
      </c>
      <c r="B12">
        <v>-1E-3</v>
      </c>
      <c r="C12">
        <v>-1.1999999999999999E-3</v>
      </c>
      <c r="D12">
        <v>6.4999999999999997E-3</v>
      </c>
      <c r="E12">
        <v>-3.2000000000000002E-3</v>
      </c>
      <c r="F12">
        <v>9.4999999999999998E-3</v>
      </c>
      <c r="G12">
        <v>-4.1000000000000003E-3</v>
      </c>
      <c r="H12">
        <v>-6.4999999999999997E-3</v>
      </c>
      <c r="I12">
        <v>7.7000000000000002E-3</v>
      </c>
      <c r="J12">
        <v>1.8700000000000001E-2</v>
      </c>
      <c r="K12">
        <v>1.7600000000000001E-2</v>
      </c>
      <c r="L12">
        <v>4.0000000000000001E-3</v>
      </c>
      <c r="O12" s="25" t="s">
        <v>133</v>
      </c>
      <c r="P12" s="39" t="s">
        <v>129</v>
      </c>
      <c r="Q12" s="39" t="s">
        <v>128</v>
      </c>
      <c r="R12" s="39" t="s">
        <v>130</v>
      </c>
      <c r="S12" s="39" t="s">
        <v>131</v>
      </c>
      <c r="T12" s="39" t="s">
        <v>134</v>
      </c>
      <c r="U12" s="39" t="s">
        <v>135</v>
      </c>
      <c r="V12" s="39" t="s">
        <v>136</v>
      </c>
      <c r="W12" s="39" t="s">
        <v>137</v>
      </c>
      <c r="X12" s="25" t="s">
        <v>138</v>
      </c>
      <c r="Y12" s="39" t="s">
        <v>139</v>
      </c>
      <c r="Z12" s="39" t="s">
        <v>140</v>
      </c>
      <c r="AA12" s="39" t="s">
        <v>141</v>
      </c>
      <c r="AB12" s="39" t="s">
        <v>142</v>
      </c>
      <c r="AC12" s="25" t="s">
        <v>143</v>
      </c>
      <c r="AD12" s="39"/>
      <c r="AE12" s="25"/>
      <c r="AF12" s="25" t="s">
        <v>144</v>
      </c>
      <c r="AI12">
        <v>-2.4500000000000001E-2</v>
      </c>
      <c r="AJ12">
        <v>1.3599999999999999E-2</v>
      </c>
      <c r="AK12">
        <v>4.3E-3</v>
      </c>
    </row>
    <row r="13" spans="1:37" ht="15" thickBot="1" x14ac:dyDescent="0.4">
      <c r="A13" s="61">
        <v>45975</v>
      </c>
      <c r="B13">
        <v>-2.8E-3</v>
      </c>
      <c r="C13">
        <v>1E-4</v>
      </c>
      <c r="D13">
        <v>7.3000000000000001E-3</v>
      </c>
      <c r="E13">
        <v>1.5E-3</v>
      </c>
      <c r="F13">
        <v>-2.4500000000000001E-2</v>
      </c>
      <c r="G13">
        <v>1.3599999999999999E-2</v>
      </c>
      <c r="H13">
        <v>-1.6500000000000001E-2</v>
      </c>
      <c r="I13">
        <v>4.4000000000000003E-3</v>
      </c>
      <c r="J13">
        <v>4.3E-3</v>
      </c>
      <c r="K13">
        <v>-7.7999999999999996E-3</v>
      </c>
      <c r="L13">
        <v>1.1999999999999999E-3</v>
      </c>
      <c r="O13" s="24"/>
      <c r="X13" s="23"/>
      <c r="AC13" s="23"/>
      <c r="AD13" s="47"/>
      <c r="AE13" s="23"/>
      <c r="AF13" s="23"/>
      <c r="AI13">
        <v>8.3999999999999995E-3</v>
      </c>
      <c r="AJ13">
        <v>-8.9999999999999998E-4</v>
      </c>
      <c r="AK13">
        <v>1.2999999999999999E-3</v>
      </c>
    </row>
    <row r="14" spans="1:37" x14ac:dyDescent="0.35">
      <c r="A14" s="61">
        <v>45974</v>
      </c>
      <c r="B14">
        <v>-2.3E-3</v>
      </c>
      <c r="C14">
        <v>-8.3000000000000001E-3</v>
      </c>
      <c r="D14">
        <v>3.0000000000000001E-3</v>
      </c>
      <c r="E14">
        <v>4.0000000000000002E-4</v>
      </c>
      <c r="F14">
        <v>8.3999999999999995E-3</v>
      </c>
      <c r="G14">
        <v>-8.9999999999999998E-4</v>
      </c>
      <c r="H14">
        <v>2.76E-2</v>
      </c>
      <c r="I14">
        <v>-1.41E-2</v>
      </c>
      <c r="J14">
        <v>1.2999999999999999E-3</v>
      </c>
      <c r="K14">
        <v>2.6499999999999999E-2</v>
      </c>
      <c r="L14">
        <v>1E-4</v>
      </c>
      <c r="O14" s="24" t="s">
        <v>127</v>
      </c>
      <c r="P14">
        <v>1.9828996282527885E-3</v>
      </c>
      <c r="Q14">
        <v>0.49572490706319716</v>
      </c>
      <c r="R14">
        <v>2.4901264828683822E-2</v>
      </c>
      <c r="S14">
        <v>0.39372356738841702</v>
      </c>
      <c r="T14">
        <v>0.9368322442661059</v>
      </c>
      <c r="U14">
        <v>0.10813345676864305</v>
      </c>
      <c r="V14">
        <v>0.28559011061977413</v>
      </c>
      <c r="W14">
        <v>0.45443024582987196</v>
      </c>
      <c r="X14" s="23">
        <v>1</v>
      </c>
      <c r="Y14">
        <f>((Q14-7%)*T14)/V14</f>
        <v>1.3965218167340117</v>
      </c>
      <c r="Z14">
        <f>Z13+Y14</f>
        <v>1.3965218167340117</v>
      </c>
      <c r="AA14">
        <f>(T14^2)/V14</f>
        <v>3.0731269090236499</v>
      </c>
      <c r="AB14">
        <f t="shared" ref="AB14:AB23" si="10">AB13+AA14</f>
        <v>3.0731269090236499</v>
      </c>
      <c r="AC14" s="23">
        <f t="shared" ref="AC14:AC23" si="11">($Z$5*Z14)/(1+$Z$5*AB14)</f>
        <v>0.12480612646011979</v>
      </c>
      <c r="AD14" s="63" t="str">
        <f t="shared" ref="AD14:AD23" si="12">IF(W14&gt;AC14,"SELECTED","REJECTED")</f>
        <v>SELECTED</v>
      </c>
      <c r="AE14" s="23">
        <f>((W14-$AC$13)*(T14^2))/V14</f>
        <v>1.3965218167340117</v>
      </c>
      <c r="AF14" s="23">
        <f>AE14/$AE$24</f>
        <v>0.45226064186123344</v>
      </c>
      <c r="AI14">
        <v>1.66E-2</v>
      </c>
      <c r="AJ14">
        <v>5.4000000000000003E-3</v>
      </c>
      <c r="AK14">
        <v>1.4E-2</v>
      </c>
    </row>
    <row r="15" spans="1:37" x14ac:dyDescent="0.35">
      <c r="A15" s="61">
        <v>45973</v>
      </c>
      <c r="B15">
        <v>8.0000000000000002E-3</v>
      </c>
      <c r="C15">
        <v>2.7799999999999998E-2</v>
      </c>
      <c r="D15">
        <v>-5.0000000000000001E-4</v>
      </c>
      <c r="E15">
        <v>-2.9999999999999997E-4</v>
      </c>
      <c r="F15">
        <v>1.66E-2</v>
      </c>
      <c r="G15">
        <v>5.4000000000000003E-3</v>
      </c>
      <c r="H15">
        <v>-1.15E-2</v>
      </c>
      <c r="I15">
        <v>3.3999999999999998E-3</v>
      </c>
      <c r="J15">
        <v>1.4E-2</v>
      </c>
      <c r="K15">
        <v>0</v>
      </c>
      <c r="L15">
        <v>7.0000000000000001E-3</v>
      </c>
      <c r="O15" s="24" t="s">
        <v>150</v>
      </c>
      <c r="P15">
        <v>1.2163568773234205E-3</v>
      </c>
      <c r="Q15">
        <v>0.30408921933085514</v>
      </c>
      <c r="R15">
        <v>1.8905052237721248E-2</v>
      </c>
      <c r="S15">
        <v>0.29891512177831064</v>
      </c>
      <c r="T15">
        <v>0.78374946350457575</v>
      </c>
      <c r="U15">
        <v>7.5681710586798179E-2</v>
      </c>
      <c r="V15">
        <v>0.22323341119151247</v>
      </c>
      <c r="W15">
        <v>0.29867863422083024</v>
      </c>
      <c r="X15" s="23">
        <v>2</v>
      </c>
      <c r="Y15">
        <f t="shared" ref="Y15:Y23" si="13">((Q15-7%)*T15)/V15</f>
        <v>0.82186308529490537</v>
      </c>
      <c r="Z15">
        <f t="shared" ref="Z15:Z23" si="14">Z14+Y15</f>
        <v>2.2183849020289168</v>
      </c>
      <c r="AA15">
        <f t="shared" ref="AA15:AA23" si="15">(T15^2)/V15</f>
        <v>2.7516634641072271</v>
      </c>
      <c r="AB15">
        <f t="shared" si="10"/>
        <v>5.8247903731308774</v>
      </c>
      <c r="AC15" s="23">
        <f t="shared" si="11"/>
        <v>0.15912446872423114</v>
      </c>
      <c r="AD15" s="64" t="str">
        <f t="shared" si="12"/>
        <v>SELECTED</v>
      </c>
      <c r="AE15" s="23">
        <f>((W15-$AC$13)*(T15^2))/V15</f>
        <v>0.82186308529490526</v>
      </c>
      <c r="AF15" s="23">
        <f t="shared" ref="AF15:AF16" si="16">AE15/$AE$24</f>
        <v>0.26615862496641723</v>
      </c>
      <c r="AI15">
        <v>-1E-4</v>
      </c>
      <c r="AJ15">
        <v>7.4000000000000003E-3</v>
      </c>
      <c r="AK15">
        <v>-2.5899999999999999E-2</v>
      </c>
    </row>
    <row r="16" spans="1:37" ht="15" thickBot="1" x14ac:dyDescent="0.4">
      <c r="A16" s="61">
        <v>45972</v>
      </c>
      <c r="B16">
        <v>4.1000000000000003E-3</v>
      </c>
      <c r="C16">
        <v>7.1999999999999998E-3</v>
      </c>
      <c r="D16">
        <v>1E-3</v>
      </c>
      <c r="E16">
        <v>2.2000000000000001E-3</v>
      </c>
      <c r="F16">
        <v>-1E-4</v>
      </c>
      <c r="G16">
        <v>7.4000000000000003E-3</v>
      </c>
      <c r="H16">
        <v>6.0000000000000001E-3</v>
      </c>
      <c r="I16">
        <v>6.0000000000000001E-3</v>
      </c>
      <c r="J16">
        <v>-2.5899999999999999E-2</v>
      </c>
      <c r="K16">
        <v>-2.0999999999999999E-3</v>
      </c>
      <c r="L16">
        <v>4.7000000000000002E-3</v>
      </c>
      <c r="O16" s="24" t="s">
        <v>151</v>
      </c>
      <c r="P16">
        <v>1.2921933085501853E-3</v>
      </c>
      <c r="Q16">
        <v>0.32304832713754633</v>
      </c>
      <c r="R16">
        <v>3.1792309546348645E-2</v>
      </c>
      <c r="S16">
        <v>0.50268055121788113</v>
      </c>
      <c r="T16">
        <v>1.1587776175353603</v>
      </c>
      <c r="U16">
        <v>0.16543851472130258</v>
      </c>
      <c r="V16">
        <v>0.33724203649657858</v>
      </c>
      <c r="W16">
        <v>0.21837522861009567</v>
      </c>
      <c r="X16" s="23">
        <v>3</v>
      </c>
      <c r="Y16">
        <f t="shared" si="13"/>
        <v>0.8694845419862991</v>
      </c>
      <c r="Z16">
        <f t="shared" si="14"/>
        <v>3.0878694440152161</v>
      </c>
      <c r="AA16">
        <f t="shared" si="15"/>
        <v>3.9816079301684231</v>
      </c>
      <c r="AB16">
        <f t="shared" si="10"/>
        <v>9.8063983032993001</v>
      </c>
      <c r="AC16" s="23">
        <f t="shared" si="11"/>
        <v>0.17228721592106822</v>
      </c>
      <c r="AD16" s="65" t="str">
        <f t="shared" si="12"/>
        <v>SELECTED</v>
      </c>
      <c r="AE16" s="23">
        <f>((W16-$AC$13)*(T16^2))/V16</f>
        <v>0.86948454198629921</v>
      </c>
      <c r="AF16" s="23">
        <f t="shared" si="16"/>
        <v>0.28158073317234933</v>
      </c>
      <c r="AI16">
        <v>1.29E-2</v>
      </c>
      <c r="AJ16">
        <v>-9.4000000000000004E-3</v>
      </c>
      <c r="AK16">
        <v>-2.9600000000000001E-2</v>
      </c>
    </row>
    <row r="17" spans="1:37" x14ac:dyDescent="0.35">
      <c r="A17" s="61">
        <v>45971</v>
      </c>
      <c r="B17">
        <v>2.0000000000000001E-4</v>
      </c>
      <c r="C17">
        <v>1.12E-2</v>
      </c>
      <c r="D17">
        <v>-2.6499999999999999E-2</v>
      </c>
      <c r="E17">
        <v>6.6299999999999998E-2</v>
      </c>
      <c r="F17">
        <v>1.29E-2</v>
      </c>
      <c r="G17">
        <v>-9.4000000000000004E-3</v>
      </c>
      <c r="H17">
        <v>2.1299999999999999E-2</v>
      </c>
      <c r="I17">
        <v>6.7999999999999996E-3</v>
      </c>
      <c r="J17">
        <v>-2.9600000000000001E-2</v>
      </c>
      <c r="K17">
        <v>-3.0000000000000001E-3</v>
      </c>
      <c r="L17">
        <v>3.2000000000000002E-3</v>
      </c>
      <c r="O17" s="24" t="s">
        <v>149</v>
      </c>
      <c r="P17">
        <v>6.3234200743494343E-4</v>
      </c>
      <c r="Q17">
        <v>0.15808550185873585</v>
      </c>
      <c r="R17">
        <v>1.3382207030864632E-2</v>
      </c>
      <c r="S17">
        <v>0.21159127168725722</v>
      </c>
      <c r="T17">
        <v>0.60866029934584065</v>
      </c>
      <c r="U17">
        <v>4.5644281698806737E-2</v>
      </c>
      <c r="V17">
        <v>0.16594698998845048</v>
      </c>
      <c r="W17">
        <v>0.14472030121466109</v>
      </c>
      <c r="X17" s="23">
        <v>4</v>
      </c>
      <c r="Y17">
        <f t="shared" si="13"/>
        <v>0.32307996627777447</v>
      </c>
      <c r="Z17">
        <f t="shared" si="14"/>
        <v>3.4109494102929907</v>
      </c>
      <c r="AA17">
        <f t="shared" si="15"/>
        <v>2.2324439872368402</v>
      </c>
      <c r="AB17">
        <f t="shared" si="10"/>
        <v>12.03884229053614</v>
      </c>
      <c r="AC17" s="23">
        <f t="shared" si="11"/>
        <v>0.16923383732098429</v>
      </c>
      <c r="AD17" t="str">
        <f t="shared" si="12"/>
        <v>REJECTED</v>
      </c>
      <c r="AE17" s="23"/>
      <c r="AF17" s="23"/>
      <c r="AI17">
        <v>-1.1599999999999999E-2</v>
      </c>
      <c r="AJ17">
        <v>-1.0999999999999999E-2</v>
      </c>
      <c r="AK17">
        <v>8.3999999999999995E-3</v>
      </c>
    </row>
    <row r="18" spans="1:37" x14ac:dyDescent="0.35">
      <c r="A18" s="61">
        <v>45968</v>
      </c>
      <c r="B18">
        <v>-2.7000000000000001E-3</v>
      </c>
      <c r="C18">
        <v>-6.3E-3</v>
      </c>
      <c r="D18">
        <v>3.1300000000000001E-2</v>
      </c>
      <c r="E18">
        <v>7.4999999999999997E-3</v>
      </c>
      <c r="F18">
        <v>-1.1599999999999999E-2</v>
      </c>
      <c r="G18">
        <v>-1.0999999999999999E-2</v>
      </c>
      <c r="H18">
        <v>1.5599999999999999E-2</v>
      </c>
      <c r="I18">
        <v>-1.3899999999999999E-2</v>
      </c>
      <c r="J18">
        <v>8.3999999999999995E-3</v>
      </c>
      <c r="K18">
        <v>4.0000000000000001E-3</v>
      </c>
      <c r="L18">
        <v>-6.9999999999999999E-4</v>
      </c>
      <c r="O18" s="24" t="s">
        <v>146</v>
      </c>
      <c r="P18">
        <v>4.7137546468401518E-4</v>
      </c>
      <c r="Q18">
        <v>0.1178438661710038</v>
      </c>
      <c r="R18">
        <v>1.2170960298742864E-2</v>
      </c>
      <c r="S18">
        <v>0.1924397792775541</v>
      </c>
      <c r="T18">
        <v>0.71446107847479068</v>
      </c>
      <c r="U18">
        <v>6.2891735043531974E-2</v>
      </c>
      <c r="V18">
        <v>0.12954804423402211</v>
      </c>
      <c r="W18">
        <v>8.0961535783708599E-2</v>
      </c>
      <c r="X18" s="23">
        <v>5</v>
      </c>
      <c r="Y18">
        <f t="shared" si="13"/>
        <v>0.2638602568263384</v>
      </c>
      <c r="Z18">
        <f t="shared" si="14"/>
        <v>3.6748096671193293</v>
      </c>
      <c r="AA18">
        <f t="shared" si="15"/>
        <v>3.9402727819900547</v>
      </c>
      <c r="AB18">
        <f t="shared" si="10"/>
        <v>15.979115072526195</v>
      </c>
      <c r="AC18" s="23">
        <f t="shared" si="11"/>
        <v>0.15251009500191876</v>
      </c>
      <c r="AD18" t="str">
        <f t="shared" si="12"/>
        <v>REJECTED</v>
      </c>
      <c r="AE18" s="23"/>
      <c r="AF18" s="23"/>
      <c r="AI18">
        <v>-1.7399999999999999E-2</v>
      </c>
      <c r="AJ18">
        <v>-3.3000000000000002E-2</v>
      </c>
      <c r="AK18">
        <v>-1.5599999999999999E-2</v>
      </c>
    </row>
    <row r="19" spans="1:37" x14ac:dyDescent="0.35">
      <c r="A19" s="61">
        <v>45967</v>
      </c>
      <c r="B19">
        <v>8.9999999999999998E-4</v>
      </c>
      <c r="C19">
        <v>6.8999999999999999E-3</v>
      </c>
      <c r="D19">
        <v>-1.06E-2</v>
      </c>
      <c r="E19">
        <v>-6.0000000000000001E-3</v>
      </c>
      <c r="F19">
        <v>-1.7399999999999999E-2</v>
      </c>
      <c r="G19">
        <v>-3.3000000000000002E-2</v>
      </c>
      <c r="H19">
        <v>-1.2999999999999999E-2</v>
      </c>
      <c r="I19">
        <v>-1.52E-2</v>
      </c>
      <c r="J19">
        <v>-1.5599999999999999E-2</v>
      </c>
      <c r="K19">
        <v>-3.3300000000000003E-2</v>
      </c>
      <c r="L19">
        <v>-3.3999999999999998E-3</v>
      </c>
      <c r="O19" s="24" t="s">
        <v>153</v>
      </c>
      <c r="P19">
        <v>2.2639405204461012E-4</v>
      </c>
      <c r="Q19">
        <v>5.6598513011152526E-2</v>
      </c>
      <c r="R19">
        <v>1.8273482398370223E-2</v>
      </c>
      <c r="S19">
        <v>0.28892912580923125</v>
      </c>
      <c r="T19">
        <v>1.0273013606313033</v>
      </c>
      <c r="U19">
        <v>0.1300265840083607</v>
      </c>
      <c r="V19">
        <v>0.15890254180087054</v>
      </c>
      <c r="W19">
        <v>-1.3045331683987959E-2</v>
      </c>
      <c r="X19" s="23">
        <v>6</v>
      </c>
      <c r="Y19">
        <f t="shared" si="13"/>
        <v>-8.6640312118973911E-2</v>
      </c>
      <c r="Z19">
        <f t="shared" si="14"/>
        <v>3.5881693550003555</v>
      </c>
      <c r="AA19">
        <f t="shared" si="15"/>
        <v>6.6414802028619624</v>
      </c>
      <c r="AB19">
        <f t="shared" si="10"/>
        <v>22.620595275388158</v>
      </c>
      <c r="AC19" s="23">
        <f t="shared" si="11"/>
        <v>0.11673779549223481</v>
      </c>
      <c r="AD19" t="str">
        <f t="shared" si="12"/>
        <v>REJECTED</v>
      </c>
      <c r="AE19" s="23"/>
      <c r="AF19" s="23"/>
      <c r="AI19">
        <v>-1.3299999999999999E-2</v>
      </c>
      <c r="AJ19">
        <v>1.06E-2</v>
      </c>
      <c r="AK19">
        <v>4.8999999999999998E-3</v>
      </c>
    </row>
    <row r="20" spans="1:37" x14ac:dyDescent="0.35">
      <c r="A20" s="61">
        <v>45965</v>
      </c>
      <c r="B20">
        <v>-1.2999999999999999E-3</v>
      </c>
      <c r="C20">
        <v>-8.8000000000000005E-3</v>
      </c>
      <c r="D20">
        <v>-1.54E-2</v>
      </c>
      <c r="E20">
        <v>-1.47E-2</v>
      </c>
      <c r="F20">
        <v>-1.3299999999999999E-2</v>
      </c>
      <c r="G20">
        <v>1.06E-2</v>
      </c>
      <c r="H20">
        <v>-1.52E-2</v>
      </c>
      <c r="I20">
        <v>9.7000000000000003E-3</v>
      </c>
      <c r="J20">
        <v>4.8999999999999998E-3</v>
      </c>
      <c r="K20">
        <v>2.3E-3</v>
      </c>
      <c r="L20">
        <v>-6.4000000000000003E-3</v>
      </c>
      <c r="O20" s="24" t="s">
        <v>152</v>
      </c>
      <c r="P20">
        <v>-2.3717472118959146E-4</v>
      </c>
      <c r="Q20">
        <v>-5.9293680297397865E-2</v>
      </c>
      <c r="R20">
        <v>2.1611043356883304E-2</v>
      </c>
      <c r="S20">
        <v>0.34170059810201164</v>
      </c>
      <c r="T20">
        <v>1.3135126047749488</v>
      </c>
      <c r="U20">
        <v>0.2125714406895596</v>
      </c>
      <c r="V20">
        <v>0.12912915741245204</v>
      </c>
      <c r="W20">
        <v>-9.8433528408774174E-2</v>
      </c>
      <c r="X20" s="23">
        <v>7</v>
      </c>
      <c r="Y20">
        <f t="shared" si="13"/>
        <v>-1.3151861453406946</v>
      </c>
      <c r="Z20">
        <f t="shared" si="14"/>
        <v>2.2729832096596612</v>
      </c>
      <c r="AA20">
        <f t="shared" si="15"/>
        <v>13.361160232710519</v>
      </c>
      <c r="AB20">
        <f t="shared" si="10"/>
        <v>35.981755508098679</v>
      </c>
      <c r="AC20" s="23">
        <f t="shared" si="11"/>
        <v>5.154372233877956E-2</v>
      </c>
      <c r="AD20" t="str">
        <f t="shared" si="12"/>
        <v>REJECTED</v>
      </c>
      <c r="AE20" s="23"/>
      <c r="AF20" s="23"/>
      <c r="AI20">
        <v>-4.5999999999999999E-3</v>
      </c>
      <c r="AJ20">
        <v>-7.1000000000000004E-3</v>
      </c>
      <c r="AK20">
        <v>5.9499999999999997E-2</v>
      </c>
    </row>
    <row r="21" spans="1:37" x14ac:dyDescent="0.35">
      <c r="A21" s="61">
        <v>45964</v>
      </c>
      <c r="B21">
        <v>-3.8999999999999998E-3</v>
      </c>
      <c r="C21">
        <v>-1.35E-2</v>
      </c>
      <c r="D21">
        <v>2.8199999999999999E-2</v>
      </c>
      <c r="E21">
        <v>1.9199999999999998E-2</v>
      </c>
      <c r="F21">
        <v>-4.5999999999999999E-3</v>
      </c>
      <c r="G21">
        <v>-7.1000000000000004E-3</v>
      </c>
      <c r="H21">
        <v>8.6999999999999994E-3</v>
      </c>
      <c r="I21">
        <v>-1.61E-2</v>
      </c>
      <c r="J21">
        <v>5.9499999999999997E-2</v>
      </c>
      <c r="K21">
        <v>1.37E-2</v>
      </c>
      <c r="L21">
        <v>1.6000000000000001E-3</v>
      </c>
      <c r="O21" s="24" t="s">
        <v>148</v>
      </c>
      <c r="P21">
        <v>-5.576208178438673E-5</v>
      </c>
      <c r="Q21">
        <v>-1.3940520446096682E-2</v>
      </c>
      <c r="R21">
        <v>1.4540928285562455E-2</v>
      </c>
      <c r="S21">
        <v>0.22991226337772322</v>
      </c>
      <c r="T21">
        <v>0.84931337243600047</v>
      </c>
      <c r="U21">
        <v>8.887351368666499E-2</v>
      </c>
      <c r="V21" s="35">
        <v>0.14103874969105823</v>
      </c>
      <c r="W21">
        <v>-9.8833390795836057E-2</v>
      </c>
      <c r="X21" s="23">
        <v>8</v>
      </c>
      <c r="Y21">
        <f t="shared" si="13"/>
        <v>-0.50547673359463485</v>
      </c>
      <c r="Z21">
        <f t="shared" si="14"/>
        <v>1.7675064760650263</v>
      </c>
      <c r="AA21">
        <f t="shared" si="15"/>
        <v>5.114432779492688</v>
      </c>
      <c r="AB21">
        <f t="shared" si="10"/>
        <v>41.096188287591367</v>
      </c>
      <c r="AC21" s="23">
        <f t="shared" si="11"/>
        <v>3.5915737201060394E-2</v>
      </c>
      <c r="AD21" t="str">
        <f t="shared" si="12"/>
        <v>REJECTED</v>
      </c>
      <c r="AE21" s="23"/>
      <c r="AF21" s="23"/>
      <c r="AI21">
        <v>1.04E-2</v>
      </c>
      <c r="AJ21">
        <v>-2.9000000000000001E-2</v>
      </c>
      <c r="AK21">
        <v>-4.2799999999999998E-2</v>
      </c>
    </row>
    <row r="22" spans="1:37" x14ac:dyDescent="0.35">
      <c r="A22" s="61">
        <v>45961</v>
      </c>
      <c r="B22">
        <v>-6.4999999999999997E-3</v>
      </c>
      <c r="C22">
        <v>7.4999999999999997E-3</v>
      </c>
      <c r="D22">
        <v>-6.7000000000000002E-3</v>
      </c>
      <c r="E22">
        <v>-1.17E-2</v>
      </c>
      <c r="F22">
        <v>1.04E-2</v>
      </c>
      <c r="G22">
        <v>-2.9000000000000001E-2</v>
      </c>
      <c r="H22">
        <v>-2.3E-3</v>
      </c>
      <c r="I22">
        <v>-1.5E-3</v>
      </c>
      <c r="J22">
        <v>-4.2799999999999998E-2</v>
      </c>
      <c r="K22">
        <v>-2.01E-2</v>
      </c>
      <c r="L22">
        <v>-6.0000000000000001E-3</v>
      </c>
      <c r="O22" s="24" t="s">
        <v>155</v>
      </c>
      <c r="P22">
        <v>-2.0334572490706296E-4</v>
      </c>
      <c r="Q22">
        <v>-5.0836431226765739E-2</v>
      </c>
      <c r="R22">
        <v>2.302547963984581E-2</v>
      </c>
      <c r="S22">
        <v>0.36406479939873132</v>
      </c>
      <c r="T22">
        <v>0.7670931123867607</v>
      </c>
      <c r="U22">
        <v>7.2499096292064774E-2</v>
      </c>
      <c r="V22">
        <v>0.29156570310666652</v>
      </c>
      <c r="W22">
        <v>-0.15752511562878069</v>
      </c>
      <c r="X22" s="23">
        <v>9</v>
      </c>
      <c r="Y22">
        <f t="shared" si="13"/>
        <v>-0.31791391488023446</v>
      </c>
      <c r="Z22">
        <f t="shared" si="14"/>
        <v>1.449592561184792</v>
      </c>
      <c r="AA22">
        <f t="shared" si="15"/>
        <v>2.0181792193025365</v>
      </c>
      <c r="AB22">
        <f t="shared" si="10"/>
        <v>43.114367506893906</v>
      </c>
      <c r="AC22" s="23">
        <f t="shared" si="11"/>
        <v>2.8295349890037558E-2</v>
      </c>
      <c r="AD22" t="str">
        <f t="shared" si="12"/>
        <v>REJECTED</v>
      </c>
      <c r="AE22" s="23"/>
      <c r="AF22" s="23"/>
      <c r="AI22">
        <v>2.3800000000000002E-2</v>
      </c>
      <c r="AJ22">
        <v>2.8999999999999998E-3</v>
      </c>
      <c r="AK22">
        <v>4.0000000000000002E-4</v>
      </c>
    </row>
    <row r="23" spans="1:37" x14ac:dyDescent="0.35">
      <c r="A23" s="61">
        <v>45960</v>
      </c>
      <c r="B23">
        <v>5.4000000000000003E-3</v>
      </c>
      <c r="C23">
        <v>-7.3000000000000001E-3</v>
      </c>
      <c r="D23">
        <v>-8.8000000000000005E-3</v>
      </c>
      <c r="E23">
        <v>8.9999999999999998E-4</v>
      </c>
      <c r="F23">
        <v>2.3800000000000002E-2</v>
      </c>
      <c r="G23">
        <v>2.8999999999999998E-3</v>
      </c>
      <c r="H23">
        <v>-1.24E-2</v>
      </c>
      <c r="I23">
        <v>8.8000000000000005E-3</v>
      </c>
      <c r="J23">
        <v>4.0000000000000002E-4</v>
      </c>
      <c r="K23">
        <v>2.0999999999999999E-3</v>
      </c>
      <c r="L23">
        <v>-6.7999999999999996E-3</v>
      </c>
      <c r="O23" s="24" t="s">
        <v>147</v>
      </c>
      <c r="P23">
        <v>-8.8773234200743487E-4</v>
      </c>
      <c r="Q23">
        <v>-0.22193308550185872</v>
      </c>
      <c r="R23">
        <v>1.2959634449413315E-2</v>
      </c>
      <c r="S23">
        <v>0.20490981251664131</v>
      </c>
      <c r="T23">
        <v>0.94717928947804375</v>
      </c>
      <c r="U23">
        <v>0.1105352539478118</v>
      </c>
      <c r="V23">
        <v>9.4374558568829509E-2</v>
      </c>
      <c r="W23">
        <v>-0.30821312157567599</v>
      </c>
      <c r="X23" s="23">
        <v>10</v>
      </c>
      <c r="Y23">
        <f t="shared" si="13"/>
        <v>-2.9299524860729949</v>
      </c>
      <c r="Z23">
        <f t="shared" si="14"/>
        <v>-1.4803599248882029</v>
      </c>
      <c r="AA23">
        <f t="shared" si="15"/>
        <v>9.5062548638235054</v>
      </c>
      <c r="AB23">
        <f t="shared" si="10"/>
        <v>52.620622370717413</v>
      </c>
      <c r="AC23" s="23">
        <f t="shared" si="11"/>
        <v>-2.4373270326557329E-2</v>
      </c>
      <c r="AD23" t="str">
        <f t="shared" si="12"/>
        <v>REJECTED</v>
      </c>
      <c r="AE23" s="23"/>
      <c r="AF23" s="23"/>
      <c r="AI23">
        <v>2.5700000000000001E-2</v>
      </c>
      <c r="AJ23">
        <v>-1.4E-3</v>
      </c>
      <c r="AK23">
        <v>1.0500000000000001E-2</v>
      </c>
    </row>
    <row r="24" spans="1:37" ht="15" thickBot="1" x14ac:dyDescent="0.4">
      <c r="A24" s="61">
        <v>45959</v>
      </c>
      <c r="B24">
        <v>1.6000000000000001E-3</v>
      </c>
      <c r="C24">
        <v>-1E-4</v>
      </c>
      <c r="D24">
        <v>9.7999999999999997E-3</v>
      </c>
      <c r="E24">
        <v>6.4000000000000003E-3</v>
      </c>
      <c r="F24">
        <v>2.5700000000000001E-2</v>
      </c>
      <c r="G24">
        <v>-1.4E-3</v>
      </c>
      <c r="H24">
        <v>2.63E-2</v>
      </c>
      <c r="I24">
        <v>1.9400000000000001E-2</v>
      </c>
      <c r="J24">
        <v>1.0500000000000001E-2</v>
      </c>
      <c r="K24">
        <v>1.6000000000000001E-3</v>
      </c>
      <c r="L24">
        <v>4.4999999999999997E-3</v>
      </c>
      <c r="O24" s="26" t="s">
        <v>132</v>
      </c>
      <c r="P24" s="16">
        <v>2.8513011152416385E-4</v>
      </c>
      <c r="Q24" s="16">
        <v>7.1282527881040961E-2</v>
      </c>
      <c r="R24" s="16">
        <v>7.7923135971092947E-3</v>
      </c>
      <c r="S24" s="16">
        <v>0.12320729604582513</v>
      </c>
      <c r="T24" s="16">
        <v>1</v>
      </c>
      <c r="U24" s="16">
        <v>0.12320729604582513</v>
      </c>
      <c r="V24" s="16">
        <v>0</v>
      </c>
      <c r="W24" s="16"/>
      <c r="X24" s="31"/>
      <c r="Y24" s="16"/>
      <c r="Z24" s="16"/>
      <c r="AA24" s="16"/>
      <c r="AB24" s="16"/>
      <c r="AC24" s="31"/>
      <c r="AD24" s="16"/>
      <c r="AE24" s="31">
        <f>SUM(AE14:AE16)</f>
        <v>3.0878694440152161</v>
      </c>
      <c r="AF24" s="31"/>
      <c r="AI24">
        <v>1.1299999999999999E-2</v>
      </c>
      <c r="AJ24">
        <v>-3.8999999999999998E-3</v>
      </c>
      <c r="AK24">
        <v>9.7999999999999997E-3</v>
      </c>
    </row>
    <row r="25" spans="1:37" ht="15" thickBot="1" x14ac:dyDescent="0.4">
      <c r="A25" s="61">
        <v>45958</v>
      </c>
      <c r="B25">
        <v>-9.4000000000000004E-3</v>
      </c>
      <c r="C25">
        <v>-8.8000000000000005E-3</v>
      </c>
      <c r="D25">
        <v>2.5000000000000001E-3</v>
      </c>
      <c r="E25">
        <v>-5.4999999999999997E-3</v>
      </c>
      <c r="F25">
        <v>1.1299999999999999E-2</v>
      </c>
      <c r="G25">
        <v>-3.8999999999999998E-3</v>
      </c>
      <c r="H25">
        <v>-2.3E-2</v>
      </c>
      <c r="I25">
        <v>-3.3799999999999997E-2</v>
      </c>
      <c r="J25">
        <v>9.7999999999999997E-3</v>
      </c>
      <c r="K25">
        <v>-1.78E-2</v>
      </c>
      <c r="L25">
        <v>-1.1000000000000001E-3</v>
      </c>
      <c r="AI25">
        <v>2.8E-3</v>
      </c>
      <c r="AJ25">
        <v>-2.8400000000000002E-2</v>
      </c>
      <c r="AK25">
        <v>3.6999999999999998E-2</v>
      </c>
    </row>
    <row r="26" spans="1:37" ht="15" thickBot="1" x14ac:dyDescent="0.4">
      <c r="A26" s="61">
        <v>45957</v>
      </c>
      <c r="B26">
        <v>8.0000000000000004E-4</v>
      </c>
      <c r="C26">
        <v>7.1000000000000004E-3</v>
      </c>
      <c r="D26">
        <v>8.9999999999999993E-3</v>
      </c>
      <c r="E26">
        <v>4.1999999999999997E-3</v>
      </c>
      <c r="F26">
        <v>2.8E-3</v>
      </c>
      <c r="G26">
        <v>-2.8400000000000002E-2</v>
      </c>
      <c r="H26">
        <v>-8.9999999999999993E-3</v>
      </c>
      <c r="I26">
        <v>4.1300000000000003E-2</v>
      </c>
      <c r="J26">
        <v>3.6999999999999998E-2</v>
      </c>
      <c r="K26">
        <v>2.3900000000000001E-2</v>
      </c>
      <c r="L26">
        <v>6.6E-3</v>
      </c>
      <c r="O26" s="69"/>
      <c r="P26" s="68" t="s">
        <v>150</v>
      </c>
      <c r="Q26" s="68" t="s">
        <v>151</v>
      </c>
      <c r="R26" s="68" t="s">
        <v>127</v>
      </c>
      <c r="S26" s="25" t="s">
        <v>144</v>
      </c>
      <c r="AI26">
        <v>-1.12E-2</v>
      </c>
      <c r="AJ26">
        <v>1.49E-2</v>
      </c>
      <c r="AK26">
        <v>-3.3999999999999998E-3</v>
      </c>
    </row>
    <row r="27" spans="1:37" x14ac:dyDescent="0.35">
      <c r="A27" s="61">
        <v>45954</v>
      </c>
      <c r="B27">
        <v>7.1999999999999998E-3</v>
      </c>
      <c r="C27">
        <v>-3.3E-3</v>
      </c>
      <c r="D27">
        <v>-1.14E-2</v>
      </c>
      <c r="E27">
        <v>-8.9999999999999993E-3</v>
      </c>
      <c r="F27">
        <v>-1.12E-2</v>
      </c>
      <c r="G27">
        <v>1.49E-2</v>
      </c>
      <c r="H27">
        <v>9.4000000000000004E-3</v>
      </c>
      <c r="I27">
        <v>4.7000000000000002E-3</v>
      </c>
      <c r="J27">
        <v>-3.3999999999999998E-3</v>
      </c>
      <c r="K27">
        <v>2.3599999999999999E-2</v>
      </c>
      <c r="L27">
        <v>-3.7000000000000002E-3</v>
      </c>
      <c r="O27" s="70" t="s">
        <v>150</v>
      </c>
      <c r="P27">
        <f>SQRT(VARP(Sheet2!$AI$2:$AI$270))</f>
        <v>1.8869880017047497E-2</v>
      </c>
      <c r="Q27">
        <f>SQRT(VARP(Sheet2!$AI$2:$AI$270))</f>
        <v>1.8869880017047497E-2</v>
      </c>
      <c r="R27">
        <f>SQRT(VARP(Sheet2!$AI$2:$AI$270))</f>
        <v>1.8869880017047497E-2</v>
      </c>
      <c r="S27" s="23">
        <v>0.45226064186123344</v>
      </c>
      <c r="AI27">
        <v>-2.1600000000000001E-2</v>
      </c>
      <c r="AJ27">
        <v>-3.2300000000000002E-2</v>
      </c>
      <c r="AK27">
        <v>5.5999999999999999E-3</v>
      </c>
    </row>
    <row r="28" spans="1:37" x14ac:dyDescent="0.35">
      <c r="A28" s="61">
        <v>45953</v>
      </c>
      <c r="B28">
        <v>-1.1299999999999999E-2</v>
      </c>
      <c r="C28">
        <v>2.2100000000000002E-2</v>
      </c>
      <c r="D28">
        <v>8.8000000000000005E-3</v>
      </c>
      <c r="E28">
        <v>6.4999999999999997E-3</v>
      </c>
      <c r="F28">
        <v>-2.1600000000000001E-2</v>
      </c>
      <c r="G28">
        <v>-3.2300000000000002E-2</v>
      </c>
      <c r="H28">
        <v>-3.5000000000000001E-3</v>
      </c>
      <c r="I28">
        <v>2.7099999999999999E-2</v>
      </c>
      <c r="J28">
        <v>5.5999999999999999E-3</v>
      </c>
      <c r="K28">
        <v>-3.2899999999999999E-2</v>
      </c>
      <c r="L28">
        <v>8.9999999999999998E-4</v>
      </c>
      <c r="O28" s="70" t="s">
        <v>151</v>
      </c>
      <c r="P28">
        <f>SQRT(VARP(Sheet2!$AI$2:$AI$270))</f>
        <v>1.8869880017047497E-2</v>
      </c>
      <c r="Q28">
        <f>SQRT(VARP(Sheet2!$AI$2:$AI$270))</f>
        <v>1.8869880017047497E-2</v>
      </c>
      <c r="R28">
        <f>SQRT(VARP(Sheet2!$AI$2:$AI$270))</f>
        <v>1.8869880017047497E-2</v>
      </c>
      <c r="S28" s="23">
        <v>0.26615862496641723</v>
      </c>
      <c r="AI28">
        <v>8.5000000000000006E-3</v>
      </c>
      <c r="AJ28">
        <v>2.8E-3</v>
      </c>
      <c r="AK28">
        <v>-5.9999999999999995E-4</v>
      </c>
    </row>
    <row r="29" spans="1:37" ht="15" thickBot="1" x14ac:dyDescent="0.4">
      <c r="A29" s="61">
        <v>45951</v>
      </c>
      <c r="B29">
        <v>1.5E-3</v>
      </c>
      <c r="C29">
        <v>-2.8E-3</v>
      </c>
      <c r="D29">
        <v>2.9999999999999997E-4</v>
      </c>
      <c r="E29">
        <v>5.7000000000000002E-3</v>
      </c>
      <c r="F29">
        <v>8.5000000000000006E-3</v>
      </c>
      <c r="G29">
        <v>2.8E-3</v>
      </c>
      <c r="H29">
        <v>-5.1999999999999998E-3</v>
      </c>
      <c r="I29">
        <v>1.2500000000000001E-2</v>
      </c>
      <c r="J29">
        <v>-5.9999999999999995E-4</v>
      </c>
      <c r="K29">
        <v>5.4000000000000003E-3</v>
      </c>
      <c r="L29">
        <v>1E-3</v>
      </c>
      <c r="O29" s="71" t="s">
        <v>127</v>
      </c>
      <c r="P29" s="16">
        <f>SQRT(VARP(Sheet2!$AI$2:$AI$270))</f>
        <v>1.8869880017047497E-2</v>
      </c>
      <c r="Q29">
        <f>SQRT(VARP(Sheet2!$AI$2:$AI$270))</f>
        <v>1.8869880017047497E-2</v>
      </c>
      <c r="R29" s="86">
        <f>SQRT(VARP(Sheet2!$AI$2:$AI$270))</f>
        <v>1.8869880017047497E-2</v>
      </c>
      <c r="S29" s="31">
        <v>0.28158073317234933</v>
      </c>
      <c r="AI29">
        <v>-1.01E-2</v>
      </c>
      <c r="AJ29">
        <v>2.5999999999999999E-2</v>
      </c>
      <c r="AK29">
        <v>3.3300000000000003E-2</v>
      </c>
    </row>
    <row r="30" spans="1:37" ht="15" thickBot="1" x14ac:dyDescent="0.4">
      <c r="A30" s="61">
        <v>45950</v>
      </c>
      <c r="B30">
        <v>-3.2000000000000002E-3</v>
      </c>
      <c r="C30">
        <v>1.7899999999999999E-2</v>
      </c>
      <c r="D30">
        <v>7.1999999999999998E-3</v>
      </c>
      <c r="E30">
        <v>-3.8999999999999998E-3</v>
      </c>
      <c r="F30">
        <v>-1.01E-2</v>
      </c>
      <c r="G30">
        <v>2.5999999999999999E-2</v>
      </c>
      <c r="H30">
        <v>-2.7699999999999999E-2</v>
      </c>
      <c r="I30">
        <v>1.8499999999999999E-2</v>
      </c>
      <c r="J30">
        <v>3.3300000000000003E-2</v>
      </c>
      <c r="K30">
        <v>-1.1299999999999999E-2</v>
      </c>
      <c r="L30">
        <v>5.1999999999999998E-3</v>
      </c>
      <c r="Q30" s="25" t="s">
        <v>131</v>
      </c>
      <c r="AI30">
        <v>-4.7999999999999996E-3</v>
      </c>
      <c r="AJ30">
        <v>5.4699999999999999E-2</v>
      </c>
      <c r="AK30">
        <v>1.1000000000000001E-3</v>
      </c>
    </row>
    <row r="31" spans="1:37" ht="15" thickBot="1" x14ac:dyDescent="0.4">
      <c r="A31" s="61">
        <v>45947</v>
      </c>
      <c r="B31">
        <v>1.01E-2</v>
      </c>
      <c r="C31">
        <v>-2.8999999999999998E-3</v>
      </c>
      <c r="D31">
        <v>-9.7000000000000003E-3</v>
      </c>
      <c r="E31">
        <v>1.43E-2</v>
      </c>
      <c r="F31">
        <v>-4.7999999999999996E-3</v>
      </c>
      <c r="G31">
        <v>5.4699999999999999E-2</v>
      </c>
      <c r="H31">
        <v>-1.2699999999999999E-2</v>
      </c>
      <c r="I31">
        <v>5.0000000000000001E-3</v>
      </c>
      <c r="J31">
        <v>1.1000000000000001E-3</v>
      </c>
      <c r="K31">
        <v>-2.2499999999999999E-2</v>
      </c>
      <c r="L31">
        <v>4.8999999999999998E-3</v>
      </c>
      <c r="O31" s="25" t="s">
        <v>158</v>
      </c>
      <c r="P31" s="72" cm="1">
        <f t="array" ref="P31">MMULT(TRANSPOSE(S27:S29),MMULT(P27:R29,S27:S29))</f>
        <v>1.8869880017047497E-2</v>
      </c>
      <c r="Q31" s="73">
        <f>P31*SQRT(250)</f>
        <v>0.29835900013983507</v>
      </c>
      <c r="AI31">
        <v>-2.5399999999999999E-2</v>
      </c>
      <c r="AJ31">
        <v>-8.9999999999999998E-4</v>
      </c>
      <c r="AK31">
        <v>-2.07E-2</v>
      </c>
    </row>
    <row r="32" spans="1:37" x14ac:dyDescent="0.35">
      <c r="A32" s="61">
        <v>45946</v>
      </c>
      <c r="B32">
        <v>4.5199999999999997E-2</v>
      </c>
      <c r="C32">
        <v>2.9999999999999997E-4</v>
      </c>
      <c r="D32">
        <v>-5.3E-3</v>
      </c>
      <c r="E32">
        <v>2.9999999999999997E-4</v>
      </c>
      <c r="F32">
        <v>-2.5399999999999999E-2</v>
      </c>
      <c r="G32">
        <v>-8.9999999999999998E-4</v>
      </c>
      <c r="H32">
        <v>-1.2699999999999999E-2</v>
      </c>
      <c r="I32">
        <v>1.1299999999999999E-2</v>
      </c>
      <c r="J32">
        <v>-2.07E-2</v>
      </c>
      <c r="K32">
        <v>8.3000000000000001E-3</v>
      </c>
      <c r="L32">
        <v>1.03E-2</v>
      </c>
      <c r="AI32">
        <v>3.2000000000000002E-3</v>
      </c>
      <c r="AJ32">
        <v>1.6799999999999999E-2</v>
      </c>
      <c r="AK32">
        <v>2.9100000000000001E-2</v>
      </c>
    </row>
    <row r="33" spans="1:37" x14ac:dyDescent="0.35">
      <c r="A33" s="61">
        <v>45945</v>
      </c>
      <c r="B33">
        <v>3.9E-2</v>
      </c>
      <c r="C33">
        <v>3.2000000000000002E-3</v>
      </c>
      <c r="D33">
        <v>-3.3999999999999998E-3</v>
      </c>
      <c r="E33">
        <v>3.0999999999999999E-3</v>
      </c>
      <c r="F33">
        <v>3.2000000000000002E-3</v>
      </c>
      <c r="G33">
        <v>1.6799999999999999E-2</v>
      </c>
      <c r="H33">
        <v>1.49E-2</v>
      </c>
      <c r="I33">
        <v>-8.4199999999999997E-2</v>
      </c>
      <c r="J33">
        <v>2.9100000000000001E-2</v>
      </c>
      <c r="K33">
        <v>4.41E-2</v>
      </c>
      <c r="L33">
        <v>7.1000000000000004E-3</v>
      </c>
      <c r="AI33">
        <v>1.17E-2</v>
      </c>
      <c r="AJ33">
        <v>3.0000000000000001E-3</v>
      </c>
      <c r="AK33">
        <v>-4.7199999999999999E-2</v>
      </c>
    </row>
    <row r="34" spans="1:37" x14ac:dyDescent="0.35">
      <c r="A34" s="61">
        <v>45944</v>
      </c>
      <c r="B34">
        <v>-1.06E-2</v>
      </c>
      <c r="C34">
        <v>-1.5599999999999999E-2</v>
      </c>
      <c r="D34">
        <v>5.3E-3</v>
      </c>
      <c r="E34">
        <v>1.1000000000000001E-3</v>
      </c>
      <c r="F34">
        <v>1.17E-2</v>
      </c>
      <c r="G34">
        <v>3.0000000000000001E-3</v>
      </c>
      <c r="H34">
        <v>2.0000000000000001E-4</v>
      </c>
      <c r="I34">
        <v>-1.0200000000000001E-2</v>
      </c>
      <c r="J34">
        <v>-4.7199999999999999E-2</v>
      </c>
      <c r="K34">
        <v>4.1399999999999999E-2</v>
      </c>
      <c r="L34">
        <v>-3.2000000000000002E-3</v>
      </c>
      <c r="AI34">
        <v>-8.8999999999999999E-3</v>
      </c>
      <c r="AJ34">
        <v>3.1600000000000003E-2</v>
      </c>
      <c r="AK34">
        <v>-1.7399999999999999E-2</v>
      </c>
    </row>
    <row r="35" spans="1:37" x14ac:dyDescent="0.35">
      <c r="A35" s="61">
        <v>45943</v>
      </c>
      <c r="B35">
        <v>-9.4999999999999998E-3</v>
      </c>
      <c r="C35">
        <v>-7.0000000000000001E-3</v>
      </c>
      <c r="D35">
        <v>-5.9999999999999995E-4</v>
      </c>
      <c r="E35">
        <v>-4.1000000000000003E-3</v>
      </c>
      <c r="F35">
        <v>-8.8999999999999999E-3</v>
      </c>
      <c r="G35">
        <v>3.1600000000000003E-2</v>
      </c>
      <c r="H35">
        <v>1.4500000000000001E-2</v>
      </c>
      <c r="I35">
        <v>-1.09E-2</v>
      </c>
      <c r="J35">
        <v>-1.7399999999999999E-2</v>
      </c>
      <c r="K35">
        <v>-3.85E-2</v>
      </c>
      <c r="L35">
        <v>-2.3E-3</v>
      </c>
      <c r="AI35">
        <v>-1.5E-3</v>
      </c>
      <c r="AJ35">
        <v>5.3E-3</v>
      </c>
      <c r="AK35">
        <v>1.23E-2</v>
      </c>
    </row>
    <row r="36" spans="1:37" x14ac:dyDescent="0.35">
      <c r="A36" s="61">
        <v>45940</v>
      </c>
      <c r="B36">
        <v>9.9000000000000008E-3</v>
      </c>
      <c r="C36">
        <v>-1.09E-2</v>
      </c>
      <c r="D36">
        <v>2.8999999999999998E-3</v>
      </c>
      <c r="E36">
        <v>-5.0000000000000001E-3</v>
      </c>
      <c r="F36">
        <v>-1.5E-3</v>
      </c>
      <c r="G36">
        <v>5.3E-3</v>
      </c>
      <c r="H36">
        <v>-2.7199999999999998E-2</v>
      </c>
      <c r="I36">
        <v>8.5000000000000006E-3</v>
      </c>
      <c r="J36">
        <v>1.23E-2</v>
      </c>
      <c r="K36">
        <v>0.1022</v>
      </c>
      <c r="L36">
        <v>4.1000000000000003E-3</v>
      </c>
      <c r="AI36">
        <v>-2.63E-2</v>
      </c>
      <c r="AJ36">
        <v>8.9999999999999998E-4</v>
      </c>
      <c r="AK36">
        <v>-2.3E-3</v>
      </c>
    </row>
    <row r="37" spans="1:37" x14ac:dyDescent="0.35">
      <c r="A37" s="61">
        <v>45939</v>
      </c>
      <c r="B37">
        <v>6.1999999999999998E-3</v>
      </c>
      <c r="C37">
        <v>1.14E-2</v>
      </c>
      <c r="D37">
        <v>1.6000000000000001E-3</v>
      </c>
      <c r="E37">
        <v>-5.1999999999999998E-3</v>
      </c>
      <c r="F37">
        <v>-2.63E-2</v>
      </c>
      <c r="G37">
        <v>8.9999999999999998E-4</v>
      </c>
      <c r="H37">
        <v>4.4299999999999999E-2</v>
      </c>
      <c r="I37">
        <v>1.2800000000000001E-2</v>
      </c>
      <c r="J37">
        <v>-2.3E-3</v>
      </c>
      <c r="K37">
        <v>4.4999999999999997E-3</v>
      </c>
      <c r="L37">
        <v>5.4000000000000003E-3</v>
      </c>
      <c r="AI37">
        <v>7.9000000000000008E-3</v>
      </c>
      <c r="AJ37">
        <v>-1.78E-2</v>
      </c>
      <c r="AK37">
        <v>-2.06E-2</v>
      </c>
    </row>
    <row r="38" spans="1:37" x14ac:dyDescent="0.35">
      <c r="A38" s="61">
        <v>45938</v>
      </c>
      <c r="B38">
        <v>3.0999999999999999E-3</v>
      </c>
      <c r="C38">
        <v>1.7999999999999999E-2</v>
      </c>
      <c r="D38">
        <v>-2.0299999999999999E-2</v>
      </c>
      <c r="E38">
        <v>9.1000000000000004E-3</v>
      </c>
      <c r="F38">
        <v>7.9000000000000008E-3</v>
      </c>
      <c r="G38">
        <v>-1.78E-2</v>
      </c>
      <c r="H38">
        <v>1.1999999999999999E-3</v>
      </c>
      <c r="I38">
        <v>-2.4799999999999999E-2</v>
      </c>
      <c r="J38">
        <v>-2.06E-2</v>
      </c>
      <c r="K38">
        <v>1.61E-2</v>
      </c>
      <c r="L38">
        <v>-2.5000000000000001E-3</v>
      </c>
      <c r="AI38">
        <v>-1.06E-2</v>
      </c>
      <c r="AJ38">
        <v>-3.3999999999999998E-3</v>
      </c>
      <c r="AK38">
        <v>-2.23E-2</v>
      </c>
    </row>
    <row r="39" spans="1:37" x14ac:dyDescent="0.35">
      <c r="A39" s="61">
        <v>45937</v>
      </c>
      <c r="B39">
        <v>-4.1000000000000003E-3</v>
      </c>
      <c r="C39">
        <v>-4.8999999999999998E-3</v>
      </c>
      <c r="D39">
        <v>5.7000000000000002E-3</v>
      </c>
      <c r="E39">
        <v>3.0999999999999999E-3</v>
      </c>
      <c r="F39">
        <v>-1.06E-2</v>
      </c>
      <c r="G39">
        <v>-3.3999999999999998E-3</v>
      </c>
      <c r="H39">
        <v>-3.3E-3</v>
      </c>
      <c r="I39">
        <v>0.01</v>
      </c>
      <c r="J39">
        <v>-2.23E-2</v>
      </c>
      <c r="K39">
        <v>2.3999999999999998E-3</v>
      </c>
      <c r="L39">
        <v>1.1999999999999999E-3</v>
      </c>
      <c r="AI39">
        <v>-1.0699999999999999E-2</v>
      </c>
      <c r="AJ39">
        <v>3.1300000000000001E-2</v>
      </c>
      <c r="AK39">
        <v>3.2300000000000002E-2</v>
      </c>
    </row>
    <row r="40" spans="1:37" x14ac:dyDescent="0.35">
      <c r="A40" s="61">
        <v>45936</v>
      </c>
      <c r="B40">
        <v>1.01E-2</v>
      </c>
      <c r="C40">
        <v>2.98E-2</v>
      </c>
      <c r="D40">
        <v>2.0999999999999999E-3</v>
      </c>
      <c r="E40">
        <v>3.2000000000000002E-3</v>
      </c>
      <c r="F40">
        <v>-1.0699999999999999E-2</v>
      </c>
      <c r="G40">
        <v>3.1300000000000001E-2</v>
      </c>
      <c r="H40">
        <v>0</v>
      </c>
      <c r="I40">
        <v>-9.2999999999999992E-3</v>
      </c>
      <c r="J40">
        <v>3.2300000000000002E-2</v>
      </c>
      <c r="K40">
        <v>2.7699999999999999E-2</v>
      </c>
      <c r="L40">
        <v>7.4000000000000003E-3</v>
      </c>
      <c r="AI40">
        <v>-1.17E-2</v>
      </c>
      <c r="AJ40">
        <v>-3.3599999999999998E-2</v>
      </c>
      <c r="AK40">
        <v>5.0000000000000001E-3</v>
      </c>
    </row>
    <row r="41" spans="1:37" x14ac:dyDescent="0.35">
      <c r="A41" s="61">
        <v>45933</v>
      </c>
      <c r="B41">
        <v>3.0000000000000001E-3</v>
      </c>
      <c r="C41">
        <v>-4.1999999999999997E-3</v>
      </c>
      <c r="D41">
        <v>1.2999999999999999E-3</v>
      </c>
      <c r="E41">
        <v>-1.47E-2</v>
      </c>
      <c r="F41">
        <v>-1.17E-2</v>
      </c>
      <c r="G41">
        <v>-3.3599999999999998E-2</v>
      </c>
      <c r="H41">
        <v>2.1100000000000001E-2</v>
      </c>
      <c r="I41">
        <v>-5.5999999999999999E-3</v>
      </c>
      <c r="J41">
        <v>5.0000000000000001E-3</v>
      </c>
      <c r="K41">
        <v>4.0000000000000002E-4</v>
      </c>
      <c r="L41">
        <v>2.3E-3</v>
      </c>
      <c r="AI41">
        <v>-1.83E-2</v>
      </c>
      <c r="AJ41">
        <v>5.4300000000000001E-2</v>
      </c>
      <c r="AK41">
        <v>6.1999999999999998E-3</v>
      </c>
    </row>
    <row r="42" spans="1:37" x14ac:dyDescent="0.35">
      <c r="A42" s="61">
        <v>45931</v>
      </c>
      <c r="B42">
        <v>1.17E-2</v>
      </c>
      <c r="C42">
        <v>8.8999999999999999E-3</v>
      </c>
      <c r="D42">
        <v>4.1999999999999997E-3</v>
      </c>
      <c r="E42">
        <v>-0.01</v>
      </c>
      <c r="F42">
        <v>-1.83E-2</v>
      </c>
      <c r="G42">
        <v>5.4300000000000001E-2</v>
      </c>
      <c r="H42">
        <v>-2.3E-3</v>
      </c>
      <c r="I42">
        <v>5.9999999999999995E-4</v>
      </c>
      <c r="J42">
        <v>6.1999999999999998E-3</v>
      </c>
      <c r="K42">
        <v>-1E-4</v>
      </c>
      <c r="L42">
        <v>9.1999999999999998E-3</v>
      </c>
      <c r="AI42">
        <v>-2.18E-2</v>
      </c>
      <c r="AJ42">
        <v>-1.3599999999999999E-2</v>
      </c>
      <c r="AK42">
        <v>3.8100000000000002E-2</v>
      </c>
    </row>
    <row r="43" spans="1:37" x14ac:dyDescent="0.35">
      <c r="A43" s="61">
        <v>45930</v>
      </c>
      <c r="B43">
        <v>2.9999999999999997E-4</v>
      </c>
      <c r="C43">
        <v>-2.7000000000000001E-3</v>
      </c>
      <c r="D43">
        <v>5.8999999999999999E-3</v>
      </c>
      <c r="E43">
        <v>4.5999999999999999E-3</v>
      </c>
      <c r="F43">
        <v>-2.18E-2</v>
      </c>
      <c r="G43">
        <v>-1.3599999999999999E-2</v>
      </c>
      <c r="H43">
        <v>3.5000000000000003E-2</v>
      </c>
      <c r="I43">
        <v>8.8000000000000005E-3</v>
      </c>
      <c r="J43">
        <v>3.8100000000000002E-2</v>
      </c>
      <c r="K43">
        <v>2.0000000000000001E-4</v>
      </c>
      <c r="L43">
        <v>-1E-3</v>
      </c>
      <c r="AI43">
        <v>1.1000000000000001E-3</v>
      </c>
      <c r="AJ43">
        <v>2.7000000000000001E-3</v>
      </c>
      <c r="AK43">
        <v>-2.6100000000000002E-2</v>
      </c>
    </row>
    <row r="44" spans="1:37" x14ac:dyDescent="0.35">
      <c r="A44" s="61">
        <v>45929</v>
      </c>
      <c r="B44">
        <v>-8.6999999999999994E-3</v>
      </c>
      <c r="C44">
        <v>-1E-3</v>
      </c>
      <c r="D44">
        <v>2.5899999999999999E-2</v>
      </c>
      <c r="E44">
        <v>7.1999999999999998E-3</v>
      </c>
      <c r="F44">
        <v>1.1000000000000001E-3</v>
      </c>
      <c r="G44">
        <v>2.7000000000000001E-3</v>
      </c>
      <c r="H44">
        <v>3.7999999999999999E-2</v>
      </c>
      <c r="I44">
        <v>4.7000000000000002E-3</v>
      </c>
      <c r="J44">
        <v>-2.6100000000000002E-2</v>
      </c>
      <c r="K44">
        <v>-4.0000000000000002E-4</v>
      </c>
      <c r="L44">
        <v>-8.0000000000000004E-4</v>
      </c>
      <c r="AI44">
        <v>-3.5700000000000003E-2</v>
      </c>
      <c r="AJ44">
        <v>-1.8499999999999999E-2</v>
      </c>
      <c r="AK44">
        <v>-2.0400000000000001E-2</v>
      </c>
    </row>
    <row r="45" spans="1:37" x14ac:dyDescent="0.35">
      <c r="A45" s="61">
        <v>45926</v>
      </c>
      <c r="B45">
        <v>-9.2999999999999992E-3</v>
      </c>
      <c r="C45">
        <v>-1.9699999999999999E-2</v>
      </c>
      <c r="D45">
        <v>-1.77E-2</v>
      </c>
      <c r="E45">
        <v>8.3000000000000001E-3</v>
      </c>
      <c r="F45">
        <v>-3.5700000000000003E-2</v>
      </c>
      <c r="G45">
        <v>-1.8499999999999999E-2</v>
      </c>
      <c r="H45">
        <v>-3.78E-2</v>
      </c>
      <c r="I45">
        <v>4.7000000000000002E-3</v>
      </c>
      <c r="J45">
        <v>-2.0400000000000001E-2</v>
      </c>
      <c r="K45">
        <v>-2.7199999999999998E-2</v>
      </c>
      <c r="L45">
        <v>-9.4999999999999998E-3</v>
      </c>
      <c r="AI45">
        <v>-6.7999999999999996E-3</v>
      </c>
      <c r="AJ45">
        <v>3.1099999999999999E-2</v>
      </c>
      <c r="AK45">
        <v>2.46E-2</v>
      </c>
    </row>
    <row r="46" spans="1:37" x14ac:dyDescent="0.35">
      <c r="A46" s="61">
        <v>45925</v>
      </c>
      <c r="B46">
        <v>-4.3E-3</v>
      </c>
      <c r="C46">
        <v>-2.5700000000000001E-2</v>
      </c>
      <c r="D46">
        <v>-6.7999999999999996E-3</v>
      </c>
      <c r="E46">
        <v>-2.3E-2</v>
      </c>
      <c r="F46">
        <v>-6.7999999999999996E-3</v>
      </c>
      <c r="G46">
        <v>3.1099999999999999E-2</v>
      </c>
      <c r="H46">
        <v>3.0599999999999999E-2</v>
      </c>
      <c r="I46">
        <v>-1.03E-2</v>
      </c>
      <c r="J46">
        <v>2.46E-2</v>
      </c>
      <c r="K46">
        <v>2.5000000000000001E-3</v>
      </c>
      <c r="L46">
        <v>-6.6E-3</v>
      </c>
      <c r="AI46">
        <v>1.26E-2</v>
      </c>
      <c r="AJ46">
        <v>-0.1099</v>
      </c>
      <c r="AK46">
        <v>-2.8799999999999999E-2</v>
      </c>
    </row>
    <row r="47" spans="1:37" x14ac:dyDescent="0.35">
      <c r="A47" s="61">
        <v>45924</v>
      </c>
      <c r="B47">
        <v>8.6999999999999994E-3</v>
      </c>
      <c r="C47">
        <v>-8.8000000000000005E-3</v>
      </c>
      <c r="D47">
        <v>-3.8E-3</v>
      </c>
      <c r="E47">
        <v>-1.01E-2</v>
      </c>
      <c r="F47">
        <v>1.26E-2</v>
      </c>
      <c r="G47">
        <v>-0.1099</v>
      </c>
      <c r="H47">
        <v>-1.8599999999999998E-2</v>
      </c>
      <c r="I47">
        <v>-2.3599999999999999E-2</v>
      </c>
      <c r="J47">
        <v>-2.8799999999999999E-2</v>
      </c>
      <c r="K47">
        <v>-4.0000000000000002E-4</v>
      </c>
      <c r="L47">
        <v>-4.4999999999999997E-3</v>
      </c>
      <c r="AI47">
        <v>-1E-4</v>
      </c>
      <c r="AJ47">
        <v>-4.6399999999999997E-2</v>
      </c>
      <c r="AK47">
        <v>2.5999999999999999E-2</v>
      </c>
    </row>
    <row r="48" spans="1:37" x14ac:dyDescent="0.35">
      <c r="A48" s="61">
        <v>45923</v>
      </c>
      <c r="B48">
        <v>-1.67E-2</v>
      </c>
      <c r="C48">
        <v>-3.7000000000000002E-3</v>
      </c>
      <c r="D48">
        <v>-7.6E-3</v>
      </c>
      <c r="E48">
        <v>-1.1999999999999999E-3</v>
      </c>
      <c r="F48">
        <v>-1E-4</v>
      </c>
      <c r="G48">
        <v>-4.6399999999999997E-2</v>
      </c>
      <c r="H48">
        <v>4.8999999999999998E-3</v>
      </c>
      <c r="I48">
        <v>-2.5999999999999999E-3</v>
      </c>
      <c r="J48">
        <v>2.5999999999999999E-2</v>
      </c>
      <c r="K48">
        <v>1.5E-3</v>
      </c>
      <c r="L48">
        <v>-1.2999999999999999E-3</v>
      </c>
      <c r="AI48">
        <v>-3.1199999999999999E-2</v>
      </c>
      <c r="AJ48">
        <v>0.2</v>
      </c>
      <c r="AK48">
        <v>3.7699999999999997E-2</v>
      </c>
    </row>
    <row r="49" spans="1:37" x14ac:dyDescent="0.35">
      <c r="A49" s="61">
        <v>45922</v>
      </c>
      <c r="B49">
        <v>-5.1999999999999998E-3</v>
      </c>
      <c r="C49">
        <v>-3.0099999999999998E-2</v>
      </c>
      <c r="D49">
        <v>1.23E-2</v>
      </c>
      <c r="E49">
        <v>7.4000000000000003E-3</v>
      </c>
      <c r="F49">
        <v>-3.1199999999999999E-2</v>
      </c>
      <c r="G49">
        <v>0.2</v>
      </c>
      <c r="H49">
        <v>1.37E-2</v>
      </c>
      <c r="I49">
        <v>-1.06E-2</v>
      </c>
      <c r="J49">
        <v>3.7699999999999997E-2</v>
      </c>
      <c r="K49">
        <v>-1.8700000000000001E-2</v>
      </c>
      <c r="L49">
        <v>-4.8999999999999998E-3</v>
      </c>
      <c r="AI49">
        <v>3.2500000000000001E-2</v>
      </c>
      <c r="AJ49">
        <v>0.1236</v>
      </c>
      <c r="AK49">
        <v>-5.6500000000000002E-2</v>
      </c>
    </row>
    <row r="50" spans="1:37" x14ac:dyDescent="0.35">
      <c r="A50" s="61">
        <v>45919</v>
      </c>
      <c r="B50">
        <v>-1.21E-2</v>
      </c>
      <c r="C50">
        <v>-2.3999999999999998E-3</v>
      </c>
      <c r="D50">
        <v>4.7000000000000002E-3</v>
      </c>
      <c r="E50">
        <v>1.7299999999999999E-2</v>
      </c>
      <c r="F50">
        <v>3.2500000000000001E-2</v>
      </c>
      <c r="G50">
        <v>0.1236</v>
      </c>
      <c r="H50">
        <v>-4.0000000000000001E-3</v>
      </c>
      <c r="I50">
        <v>-9.7999999999999997E-3</v>
      </c>
      <c r="J50">
        <v>-5.6500000000000002E-2</v>
      </c>
      <c r="K50">
        <v>5.0000000000000001E-4</v>
      </c>
      <c r="L50">
        <v>-3.8E-3</v>
      </c>
      <c r="AI50">
        <v>2.64E-2</v>
      </c>
      <c r="AJ50">
        <v>1.2999999999999999E-3</v>
      </c>
      <c r="AK50">
        <v>-8.9999999999999993E-3</v>
      </c>
    </row>
    <row r="51" spans="1:37" x14ac:dyDescent="0.35">
      <c r="A51" s="61">
        <v>45918</v>
      </c>
      <c r="B51">
        <v>4.0000000000000001E-3</v>
      </c>
      <c r="C51">
        <v>1.1999999999999999E-3</v>
      </c>
      <c r="D51">
        <v>4.5999999999999999E-3</v>
      </c>
      <c r="E51">
        <v>5.4000000000000003E-3</v>
      </c>
      <c r="F51">
        <v>2.64E-2</v>
      </c>
      <c r="G51">
        <v>1.2999999999999999E-3</v>
      </c>
      <c r="H51">
        <v>-0.01</v>
      </c>
      <c r="I51">
        <v>2.7000000000000001E-3</v>
      </c>
      <c r="J51">
        <v>-8.9999999999999993E-3</v>
      </c>
      <c r="K51">
        <v>-5.5999999999999999E-3</v>
      </c>
      <c r="L51">
        <v>3.7000000000000002E-3</v>
      </c>
      <c r="AI51">
        <v>1.84E-2</v>
      </c>
      <c r="AJ51">
        <v>-1.0699999999999999E-2</v>
      </c>
      <c r="AK51">
        <v>-2.0000000000000001E-4</v>
      </c>
    </row>
    <row r="52" spans="1:37" x14ac:dyDescent="0.35">
      <c r="A52" s="61">
        <v>45917</v>
      </c>
      <c r="B52">
        <v>1E-4</v>
      </c>
      <c r="C52">
        <v>8.6E-3</v>
      </c>
      <c r="D52">
        <v>3.2000000000000002E-3</v>
      </c>
      <c r="E52">
        <v>3.5999999999999999E-3</v>
      </c>
      <c r="F52">
        <v>1.84E-2</v>
      </c>
      <c r="G52">
        <v>-1.0699999999999999E-2</v>
      </c>
      <c r="H52">
        <v>-6.1000000000000004E-3</v>
      </c>
      <c r="I52">
        <v>-1.6899999999999998E-2</v>
      </c>
      <c r="J52">
        <v>-2.0000000000000001E-4</v>
      </c>
      <c r="K52">
        <v>-1.21E-2</v>
      </c>
      <c r="L52">
        <v>3.5999999999999999E-3</v>
      </c>
      <c r="AI52">
        <v>2.1000000000000001E-2</v>
      </c>
      <c r="AJ52">
        <v>-1.06E-2</v>
      </c>
      <c r="AK52">
        <v>4.0099999999999997E-2</v>
      </c>
    </row>
    <row r="53" spans="1:37" x14ac:dyDescent="0.35">
      <c r="A53" s="61">
        <v>45916</v>
      </c>
      <c r="B53">
        <v>-6.7999999999999996E-3</v>
      </c>
      <c r="C53">
        <v>1.09E-2</v>
      </c>
      <c r="D53">
        <v>-1.2999999999999999E-3</v>
      </c>
      <c r="E53">
        <v>1.1000000000000001E-3</v>
      </c>
      <c r="F53">
        <v>2.1000000000000001E-2</v>
      </c>
      <c r="G53">
        <v>-1.06E-2</v>
      </c>
      <c r="H53">
        <v>4.5999999999999999E-3</v>
      </c>
      <c r="I53">
        <v>6.7000000000000002E-3</v>
      </c>
      <c r="J53">
        <v>4.0099999999999997E-2</v>
      </c>
      <c r="K53">
        <v>2.5999999999999999E-2</v>
      </c>
      <c r="L53">
        <v>6.7999999999999996E-3</v>
      </c>
      <c r="AI53">
        <v>-4.3E-3</v>
      </c>
      <c r="AJ53">
        <v>-6.7999999999999996E-3</v>
      </c>
      <c r="AK53">
        <v>1.47E-2</v>
      </c>
    </row>
    <row r="54" spans="1:37" x14ac:dyDescent="0.35">
      <c r="A54" s="61">
        <v>45915</v>
      </c>
      <c r="B54">
        <v>-4.1999999999999997E-3</v>
      </c>
      <c r="C54">
        <v>-6.8999999999999999E-3</v>
      </c>
      <c r="D54">
        <v>1.0200000000000001E-2</v>
      </c>
      <c r="E54">
        <v>-9.7000000000000003E-3</v>
      </c>
      <c r="F54">
        <v>-4.3E-3</v>
      </c>
      <c r="G54">
        <v>-6.7999999999999996E-3</v>
      </c>
      <c r="H54">
        <v>-6.0000000000000001E-3</v>
      </c>
      <c r="I54">
        <v>-5.5999999999999999E-3</v>
      </c>
      <c r="J54">
        <v>1.47E-2</v>
      </c>
      <c r="K54">
        <v>3.49E-2</v>
      </c>
      <c r="L54">
        <v>-1.8E-3</v>
      </c>
      <c r="AI54">
        <v>2.1100000000000001E-2</v>
      </c>
      <c r="AJ54">
        <v>3.8300000000000001E-2</v>
      </c>
      <c r="AK54">
        <v>-4.7000000000000002E-3</v>
      </c>
    </row>
    <row r="55" spans="1:37" x14ac:dyDescent="0.35">
      <c r="A55" s="61">
        <v>45912</v>
      </c>
      <c r="B55">
        <v>-2.5999999999999999E-3</v>
      </c>
      <c r="C55">
        <v>2.8999999999999998E-3</v>
      </c>
      <c r="D55">
        <v>-2.7000000000000001E-3</v>
      </c>
      <c r="E55">
        <v>-4.8999999999999998E-3</v>
      </c>
      <c r="F55">
        <v>2.1100000000000001E-2</v>
      </c>
      <c r="G55">
        <v>3.8300000000000001E-2</v>
      </c>
      <c r="H55">
        <v>3.7400000000000003E-2</v>
      </c>
      <c r="I55">
        <v>1.1900000000000001E-2</v>
      </c>
      <c r="J55">
        <v>-4.7000000000000002E-3</v>
      </c>
      <c r="K55">
        <v>1.9400000000000001E-2</v>
      </c>
      <c r="L55">
        <v>4.3E-3</v>
      </c>
      <c r="AI55">
        <v>2.5000000000000001E-3</v>
      </c>
      <c r="AJ55">
        <v>-1.54E-2</v>
      </c>
      <c r="AK55">
        <v>-1.17E-2</v>
      </c>
    </row>
    <row r="56" spans="1:37" x14ac:dyDescent="0.35">
      <c r="A56" s="61">
        <v>45911</v>
      </c>
      <c r="B56">
        <v>2.7000000000000001E-3</v>
      </c>
      <c r="C56">
        <v>4.5999999999999999E-3</v>
      </c>
      <c r="D56">
        <v>-5.9999999999999995E-4</v>
      </c>
      <c r="E56">
        <v>-2.3E-3</v>
      </c>
      <c r="F56">
        <v>2.5000000000000001E-3</v>
      </c>
      <c r="G56">
        <v>-1.54E-2</v>
      </c>
      <c r="H56">
        <v>3.1E-2</v>
      </c>
      <c r="I56">
        <v>1.8499999999999999E-2</v>
      </c>
      <c r="J56">
        <v>-1.17E-2</v>
      </c>
      <c r="K56">
        <v>4.0000000000000002E-4</v>
      </c>
      <c r="L56">
        <v>1.2999999999999999E-3</v>
      </c>
      <c r="AI56">
        <v>-1.2200000000000001E-2</v>
      </c>
      <c r="AJ56">
        <v>-1.43E-2</v>
      </c>
      <c r="AK56">
        <v>1.52E-2</v>
      </c>
    </row>
    <row r="57" spans="1:37" x14ac:dyDescent="0.35">
      <c r="A57" s="61">
        <v>45910</v>
      </c>
      <c r="B57">
        <v>1.2699999999999999E-2</v>
      </c>
      <c r="C57">
        <v>1.9900000000000001E-2</v>
      </c>
      <c r="D57">
        <v>3.3999999999999998E-3</v>
      </c>
      <c r="E57">
        <v>-1.4200000000000001E-2</v>
      </c>
      <c r="F57">
        <v>-1.2200000000000001E-2</v>
      </c>
      <c r="G57">
        <v>-1.43E-2</v>
      </c>
      <c r="H57">
        <v>-1.4E-3</v>
      </c>
      <c r="I57">
        <v>1.6400000000000001E-2</v>
      </c>
      <c r="J57">
        <v>1.52E-2</v>
      </c>
      <c r="K57">
        <v>-1.2999999999999999E-2</v>
      </c>
      <c r="L57">
        <v>4.1999999999999997E-3</v>
      </c>
      <c r="AI57">
        <v>-9.7999999999999997E-3</v>
      </c>
      <c r="AJ57">
        <v>1.55E-2</v>
      </c>
      <c r="AK57">
        <v>6.4899999999999999E-2</v>
      </c>
    </row>
    <row r="58" spans="1:37" x14ac:dyDescent="0.35">
      <c r="A58" s="61">
        <v>45909</v>
      </c>
      <c r="B58">
        <v>1.2200000000000001E-2</v>
      </c>
      <c r="C58">
        <v>1.01E-2</v>
      </c>
      <c r="D58">
        <v>-2.0999999999999999E-3</v>
      </c>
      <c r="E58">
        <v>8.3999999999999995E-3</v>
      </c>
      <c r="F58">
        <v>-9.7999999999999997E-3</v>
      </c>
      <c r="G58">
        <v>1.55E-2</v>
      </c>
      <c r="H58">
        <v>-4.8999999999999998E-3</v>
      </c>
      <c r="I58">
        <v>-1.2200000000000001E-2</v>
      </c>
      <c r="J58">
        <v>6.4899999999999999E-2</v>
      </c>
      <c r="K58">
        <v>3.6499999999999998E-2</v>
      </c>
      <c r="L58">
        <v>3.8999999999999998E-3</v>
      </c>
      <c r="AI58">
        <v>6.1999999999999998E-3</v>
      </c>
      <c r="AJ58">
        <v>3.9600000000000003E-2</v>
      </c>
      <c r="AK58">
        <v>1.66E-2</v>
      </c>
    </row>
    <row r="59" spans="1:37" x14ac:dyDescent="0.35">
      <c r="A59" s="61">
        <v>45908</v>
      </c>
      <c r="B59">
        <v>-1.72E-2</v>
      </c>
      <c r="C59">
        <v>-9.5999999999999992E-3</v>
      </c>
      <c r="D59">
        <v>-8.9999999999999998E-4</v>
      </c>
      <c r="E59">
        <v>9.4000000000000004E-3</v>
      </c>
      <c r="F59">
        <v>6.1999999999999998E-3</v>
      </c>
      <c r="G59">
        <v>3.9600000000000003E-2</v>
      </c>
      <c r="H59">
        <v>-1.0200000000000001E-2</v>
      </c>
      <c r="I59">
        <v>-8.9999999999999998E-4</v>
      </c>
      <c r="J59">
        <v>1.66E-2</v>
      </c>
      <c r="K59">
        <v>-1.6999999999999999E-3</v>
      </c>
      <c r="L59">
        <v>1.2999999999999999E-3</v>
      </c>
      <c r="AI59">
        <v>2.52E-2</v>
      </c>
      <c r="AJ59">
        <v>1.6000000000000001E-3</v>
      </c>
      <c r="AK59">
        <v>2.1600000000000001E-2</v>
      </c>
    </row>
    <row r="60" spans="1:37" x14ac:dyDescent="0.35">
      <c r="A60" s="61">
        <v>45905</v>
      </c>
      <c r="B60">
        <v>-3.3999999999999998E-3</v>
      </c>
      <c r="C60">
        <v>-1.5299999999999999E-2</v>
      </c>
      <c r="D60">
        <v>-8.9999999999999998E-4</v>
      </c>
      <c r="E60">
        <v>-5.5999999999999999E-3</v>
      </c>
      <c r="F60">
        <v>2.52E-2</v>
      </c>
      <c r="G60">
        <v>1.6000000000000001E-3</v>
      </c>
      <c r="H60">
        <v>5.7999999999999996E-3</v>
      </c>
      <c r="I60">
        <v>1.3100000000000001E-2</v>
      </c>
      <c r="J60">
        <v>2.1600000000000001E-2</v>
      </c>
      <c r="K60">
        <v>-3.0000000000000001E-3</v>
      </c>
      <c r="L60">
        <v>2.9999999999999997E-4</v>
      </c>
      <c r="AI60">
        <v>-1.4200000000000001E-2</v>
      </c>
      <c r="AJ60">
        <v>-1E-3</v>
      </c>
      <c r="AK60">
        <v>-2.2100000000000002E-2</v>
      </c>
    </row>
    <row r="61" spans="1:37" x14ac:dyDescent="0.35">
      <c r="A61" s="61">
        <v>45904</v>
      </c>
      <c r="B61">
        <v>1.49E-2</v>
      </c>
      <c r="C61">
        <v>-5.9999999999999995E-4</v>
      </c>
      <c r="D61">
        <v>8.5000000000000006E-3</v>
      </c>
      <c r="E61">
        <v>-2.0999999999999999E-3</v>
      </c>
      <c r="F61">
        <v>-1.4200000000000001E-2</v>
      </c>
      <c r="G61">
        <v>-1E-3</v>
      </c>
      <c r="H61">
        <v>-1.5900000000000001E-2</v>
      </c>
      <c r="I61">
        <v>9.4999999999999998E-3</v>
      </c>
      <c r="J61">
        <v>-2.2100000000000002E-2</v>
      </c>
      <c r="K61">
        <v>-7.4999999999999997E-3</v>
      </c>
      <c r="L61">
        <v>8.0000000000000004E-4</v>
      </c>
      <c r="AI61">
        <v>2.3699999999999999E-2</v>
      </c>
      <c r="AJ61">
        <v>1.6000000000000001E-3</v>
      </c>
      <c r="AK61">
        <v>2.35E-2</v>
      </c>
    </row>
    <row r="62" spans="1:37" x14ac:dyDescent="0.35">
      <c r="A62" s="61">
        <v>45903</v>
      </c>
      <c r="B62">
        <v>-5.1000000000000004E-3</v>
      </c>
      <c r="C62">
        <v>-4.4999999999999997E-3</v>
      </c>
      <c r="D62">
        <v>7.6E-3</v>
      </c>
      <c r="E62">
        <v>6.6E-3</v>
      </c>
      <c r="F62">
        <v>2.3699999999999999E-2</v>
      </c>
      <c r="G62">
        <v>1.6000000000000001E-3</v>
      </c>
      <c r="H62">
        <v>8.3999999999999995E-3</v>
      </c>
      <c r="I62">
        <v>6.6E-3</v>
      </c>
      <c r="J62">
        <v>2.35E-2</v>
      </c>
      <c r="K62">
        <v>9.4000000000000004E-3</v>
      </c>
      <c r="L62">
        <v>5.4999999999999997E-3</v>
      </c>
      <c r="AI62">
        <v>5.0000000000000001E-4</v>
      </c>
      <c r="AJ62">
        <v>2.5000000000000001E-3</v>
      </c>
      <c r="AK62">
        <v>2.87E-2</v>
      </c>
    </row>
    <row r="63" spans="1:37" x14ac:dyDescent="0.35">
      <c r="A63" s="61">
        <v>45902</v>
      </c>
      <c r="B63">
        <v>2.2599999999999999E-2</v>
      </c>
      <c r="C63">
        <v>-4.0000000000000002E-4</v>
      </c>
      <c r="D63">
        <v>5.7999999999999996E-3</v>
      </c>
      <c r="E63">
        <v>-4.0000000000000002E-4</v>
      </c>
      <c r="F63">
        <v>5.0000000000000001E-4</v>
      </c>
      <c r="G63">
        <v>2.5000000000000001E-3</v>
      </c>
      <c r="H63">
        <v>1.15E-2</v>
      </c>
      <c r="I63">
        <v>-7.3000000000000001E-3</v>
      </c>
      <c r="J63">
        <v>2.87E-2</v>
      </c>
      <c r="K63">
        <v>-6.1000000000000004E-3</v>
      </c>
      <c r="L63">
        <v>-1.8E-3</v>
      </c>
      <c r="AI63">
        <v>-2E-3</v>
      </c>
      <c r="AJ63">
        <v>1.03E-2</v>
      </c>
      <c r="AK63">
        <v>-2.7699999999999999E-2</v>
      </c>
    </row>
    <row r="64" spans="1:37" x14ac:dyDescent="0.35">
      <c r="A64" s="61">
        <v>45901</v>
      </c>
      <c r="B64">
        <v>1.5699999999999999E-2</v>
      </c>
      <c r="C64">
        <v>8.9999999999999993E-3</v>
      </c>
      <c r="D64">
        <v>8.2000000000000007E-3</v>
      </c>
      <c r="E64">
        <v>6.8999999999999999E-3</v>
      </c>
      <c r="F64">
        <v>-2E-3</v>
      </c>
      <c r="G64">
        <v>1.03E-2</v>
      </c>
      <c r="H64">
        <v>3.9699999999999999E-2</v>
      </c>
      <c r="I64">
        <v>5.1999999999999998E-3</v>
      </c>
      <c r="J64">
        <v>-2.7699999999999999E-2</v>
      </c>
      <c r="K64">
        <v>8.0000000000000002E-3</v>
      </c>
      <c r="L64">
        <v>8.0999999999999996E-3</v>
      </c>
      <c r="AI64">
        <v>7.7999999999999996E-3</v>
      </c>
      <c r="AJ64">
        <v>9.5999999999999992E-3</v>
      </c>
      <c r="AK64">
        <v>6.4999999999999997E-3</v>
      </c>
    </row>
    <row r="65" spans="1:37" x14ac:dyDescent="0.35">
      <c r="A65" s="61">
        <v>45898</v>
      </c>
      <c r="B65">
        <v>-5.3E-3</v>
      </c>
      <c r="C65">
        <v>-2.8999999999999998E-3</v>
      </c>
      <c r="D65">
        <v>-0.02</v>
      </c>
      <c r="E65">
        <v>-4.7999999999999996E-3</v>
      </c>
      <c r="F65">
        <v>7.7999999999999996E-3</v>
      </c>
      <c r="G65">
        <v>9.5999999999999992E-3</v>
      </c>
      <c r="H65">
        <v>-5.7999999999999996E-3</v>
      </c>
      <c r="I65">
        <v>1.3299999999999999E-2</v>
      </c>
      <c r="J65">
        <v>6.4999999999999997E-3</v>
      </c>
      <c r="K65">
        <v>-7.1000000000000004E-3</v>
      </c>
      <c r="L65">
        <v>-3.0000000000000001E-3</v>
      </c>
      <c r="AI65">
        <v>-2.0500000000000001E-2</v>
      </c>
      <c r="AJ65">
        <v>4.7999999999999996E-3</v>
      </c>
      <c r="AK65">
        <v>-3.0200000000000001E-2</v>
      </c>
    </row>
    <row r="66" spans="1:37" x14ac:dyDescent="0.35">
      <c r="A66" s="61">
        <v>45897</v>
      </c>
      <c r="B66">
        <v>2.0000000000000001E-4</v>
      </c>
      <c r="C66">
        <v>-2.01E-2</v>
      </c>
      <c r="D66">
        <v>-2.12E-2</v>
      </c>
      <c r="E66">
        <v>-7.7000000000000002E-3</v>
      </c>
      <c r="F66">
        <v>-2.0500000000000001E-2</v>
      </c>
      <c r="G66">
        <v>4.7999999999999996E-3</v>
      </c>
      <c r="H66">
        <v>-1.9599999999999999E-2</v>
      </c>
      <c r="I66">
        <v>-1.0500000000000001E-2</v>
      </c>
      <c r="J66">
        <v>-3.0200000000000001E-2</v>
      </c>
      <c r="K66">
        <v>-2E-3</v>
      </c>
      <c r="L66">
        <v>-8.5000000000000006E-3</v>
      </c>
      <c r="AI66">
        <v>8.0999999999999996E-3</v>
      </c>
      <c r="AJ66">
        <v>-2.24E-2</v>
      </c>
      <c r="AK66">
        <v>-5.11E-2</v>
      </c>
    </row>
    <row r="67" spans="1:37" x14ac:dyDescent="0.35">
      <c r="A67" s="61">
        <v>45895</v>
      </c>
      <c r="B67">
        <v>8.0000000000000002E-3</v>
      </c>
      <c r="C67">
        <v>5.3E-3</v>
      </c>
      <c r="D67">
        <v>-6.4000000000000003E-3</v>
      </c>
      <c r="E67">
        <v>-1.9E-2</v>
      </c>
      <c r="F67">
        <v>8.0999999999999996E-3</v>
      </c>
      <c r="G67">
        <v>-2.24E-2</v>
      </c>
      <c r="H67">
        <v>-1.0500000000000001E-2</v>
      </c>
      <c r="I67">
        <v>1.1000000000000001E-3</v>
      </c>
      <c r="J67">
        <v>-5.11E-2</v>
      </c>
      <c r="K67">
        <v>-2.01E-2</v>
      </c>
      <c r="L67">
        <v>-1.0200000000000001E-2</v>
      </c>
      <c r="AI67">
        <v>4.4699999999999997E-2</v>
      </c>
      <c r="AJ67">
        <v>1.9099999999999999E-2</v>
      </c>
      <c r="AK67">
        <v>1.6999999999999999E-3</v>
      </c>
    </row>
    <row r="68" spans="1:37" x14ac:dyDescent="0.35">
      <c r="A68" s="61">
        <v>45894</v>
      </c>
      <c r="B68">
        <v>-8.5000000000000006E-3</v>
      </c>
      <c r="C68">
        <v>2.8400000000000002E-2</v>
      </c>
      <c r="D68">
        <v>5.5999999999999999E-3</v>
      </c>
      <c r="E68">
        <v>-2.8999999999999998E-3</v>
      </c>
      <c r="F68">
        <v>4.4699999999999997E-2</v>
      </c>
      <c r="G68">
        <v>1.9099999999999999E-2</v>
      </c>
      <c r="H68">
        <v>2.3099999999999999E-2</v>
      </c>
      <c r="I68">
        <v>3.5999999999999999E-3</v>
      </c>
      <c r="J68">
        <v>1.6999999999999999E-3</v>
      </c>
      <c r="K68">
        <v>-6.0000000000000001E-3</v>
      </c>
      <c r="L68">
        <v>3.8999999999999998E-3</v>
      </c>
      <c r="AI68">
        <v>-3.3500000000000002E-2</v>
      </c>
      <c r="AJ68">
        <v>-3.2000000000000002E-3</v>
      </c>
      <c r="AK68">
        <v>3.2000000000000002E-3</v>
      </c>
    </row>
    <row r="69" spans="1:37" x14ac:dyDescent="0.35">
      <c r="A69" s="61">
        <v>45891</v>
      </c>
      <c r="B69">
        <v>-1.4E-2</v>
      </c>
      <c r="C69">
        <v>-1.5699999999999999E-2</v>
      </c>
      <c r="D69">
        <v>-7.3000000000000001E-3</v>
      </c>
      <c r="E69">
        <v>1.04E-2</v>
      </c>
      <c r="F69">
        <v>-3.3500000000000002E-2</v>
      </c>
      <c r="G69">
        <v>-3.2000000000000002E-3</v>
      </c>
      <c r="H69">
        <v>-1.38E-2</v>
      </c>
      <c r="I69">
        <v>-1.03E-2</v>
      </c>
      <c r="J69">
        <v>3.2000000000000002E-3</v>
      </c>
      <c r="K69">
        <v>9.7999999999999997E-3</v>
      </c>
      <c r="L69">
        <v>-8.5000000000000006E-3</v>
      </c>
      <c r="AI69">
        <v>-1.5800000000000002E-2</v>
      </c>
      <c r="AJ69">
        <v>-6.3E-3</v>
      </c>
      <c r="AK69">
        <v>-1.2999999999999999E-2</v>
      </c>
    </row>
    <row r="70" spans="1:37" x14ac:dyDescent="0.35">
      <c r="A70" s="61">
        <v>45890</v>
      </c>
      <c r="B70">
        <v>-9.1999999999999998E-3</v>
      </c>
      <c r="C70">
        <v>1.2999999999999999E-3</v>
      </c>
      <c r="D70">
        <v>-4.1999999999999997E-3</v>
      </c>
      <c r="E70">
        <v>-4.4999999999999997E-3</v>
      </c>
      <c r="F70">
        <v>-1.5800000000000002E-2</v>
      </c>
      <c r="G70">
        <v>-6.3E-3</v>
      </c>
      <c r="H70">
        <v>2E-3</v>
      </c>
      <c r="I70">
        <v>4.1000000000000003E-3</v>
      </c>
      <c r="J70">
        <v>-1.2999999999999999E-2</v>
      </c>
      <c r="K70">
        <v>-3.4200000000000001E-2</v>
      </c>
      <c r="L70">
        <v>1.2999999999999999E-3</v>
      </c>
      <c r="AI70">
        <v>-3.61E-2</v>
      </c>
      <c r="AJ70">
        <v>-0.01</v>
      </c>
      <c r="AK70">
        <v>-2.93E-2</v>
      </c>
    </row>
    <row r="71" spans="1:37" x14ac:dyDescent="0.35">
      <c r="A71" s="61">
        <v>45889</v>
      </c>
      <c r="B71">
        <v>2.4899999999999999E-2</v>
      </c>
      <c r="C71">
        <v>2.7300000000000001E-2</v>
      </c>
      <c r="D71">
        <v>5.5999999999999999E-3</v>
      </c>
      <c r="E71">
        <v>3.3E-3</v>
      </c>
      <c r="F71">
        <v>-3.61E-2</v>
      </c>
      <c r="G71">
        <v>-0.01</v>
      </c>
      <c r="H71">
        <v>3.0999999999999999E-3</v>
      </c>
      <c r="I71">
        <v>-1.9E-3</v>
      </c>
      <c r="J71">
        <v>-2.93E-2</v>
      </c>
      <c r="K71">
        <v>-1.41E-2</v>
      </c>
      <c r="L71">
        <v>2.8E-3</v>
      </c>
      <c r="AI71">
        <v>6.5199999999999994E-2</v>
      </c>
      <c r="AJ71">
        <v>1.21E-2</v>
      </c>
      <c r="AK71">
        <v>1.4200000000000001E-2</v>
      </c>
    </row>
    <row r="72" spans="1:37" x14ac:dyDescent="0.35">
      <c r="A72" s="61">
        <v>45888</v>
      </c>
      <c r="B72">
        <v>1.5100000000000001E-2</v>
      </c>
      <c r="C72">
        <v>1.6999999999999999E-3</v>
      </c>
      <c r="D72">
        <v>4.7000000000000002E-3</v>
      </c>
      <c r="E72">
        <v>0</v>
      </c>
      <c r="F72">
        <v>6.5199999999999994E-2</v>
      </c>
      <c r="G72">
        <v>1.21E-2</v>
      </c>
      <c r="H72">
        <v>3.5999999999999999E-3</v>
      </c>
      <c r="I72">
        <v>-4.0000000000000002E-4</v>
      </c>
      <c r="J72">
        <v>1.4200000000000001E-2</v>
      </c>
      <c r="K72">
        <v>-2.7000000000000001E-3</v>
      </c>
      <c r="L72">
        <v>4.1999999999999997E-3</v>
      </c>
      <c r="AI72">
        <v>8.1500000000000003E-2</v>
      </c>
      <c r="AJ72">
        <v>2.52E-2</v>
      </c>
      <c r="AK72">
        <v>1.8800000000000001E-2</v>
      </c>
    </row>
    <row r="73" spans="1:37" x14ac:dyDescent="0.35">
      <c r="A73" s="61">
        <v>45887</v>
      </c>
      <c r="B73">
        <v>5.0200000000000002E-2</v>
      </c>
      <c r="C73">
        <v>-3.7000000000000002E-3</v>
      </c>
      <c r="D73">
        <v>2.7000000000000001E-3</v>
      </c>
      <c r="E73">
        <v>7.9000000000000008E-3</v>
      </c>
      <c r="F73">
        <v>8.1500000000000003E-2</v>
      </c>
      <c r="G73">
        <v>2.52E-2</v>
      </c>
      <c r="H73">
        <v>1.1000000000000001E-3</v>
      </c>
      <c r="I73">
        <v>-1.6999999999999999E-3</v>
      </c>
      <c r="J73">
        <v>1.8800000000000001E-2</v>
      </c>
      <c r="K73">
        <v>-1.2699999999999999E-2</v>
      </c>
      <c r="L73">
        <v>0.01</v>
      </c>
      <c r="AI73">
        <v>-2.7000000000000001E-3</v>
      </c>
      <c r="AJ73">
        <v>-2.5999999999999999E-3</v>
      </c>
      <c r="AK73">
        <v>-2.76E-2</v>
      </c>
    </row>
    <row r="74" spans="1:37" x14ac:dyDescent="0.35">
      <c r="A74" s="61">
        <v>45883</v>
      </c>
      <c r="B74">
        <v>-6.7999999999999996E-3</v>
      </c>
      <c r="C74">
        <v>-4.5999999999999999E-3</v>
      </c>
      <c r="D74">
        <v>2.9999999999999997E-4</v>
      </c>
      <c r="E74">
        <v>1.4E-3</v>
      </c>
      <c r="F74">
        <v>-2.7000000000000001E-3</v>
      </c>
      <c r="G74">
        <v>-2.5999999999999999E-3</v>
      </c>
      <c r="H74">
        <v>-8.3000000000000001E-3</v>
      </c>
      <c r="I74">
        <v>-1.6899999999999998E-2</v>
      </c>
      <c r="J74">
        <v>-2.76E-2</v>
      </c>
      <c r="K74">
        <v>3.3599999999999998E-2</v>
      </c>
      <c r="L74">
        <v>5.0000000000000001E-4</v>
      </c>
      <c r="AI74">
        <v>1.89E-2</v>
      </c>
      <c r="AJ74">
        <v>-0.01</v>
      </c>
      <c r="AK74">
        <v>4.1200000000000001E-2</v>
      </c>
    </row>
    <row r="75" spans="1:37" x14ac:dyDescent="0.35">
      <c r="A75" s="61">
        <v>45882</v>
      </c>
      <c r="B75">
        <v>5.3E-3</v>
      </c>
      <c r="C75">
        <v>2.9999999999999997E-4</v>
      </c>
      <c r="D75">
        <v>-3.1600000000000003E-2</v>
      </c>
      <c r="E75">
        <v>-2.3E-3</v>
      </c>
      <c r="F75">
        <v>1.89E-2</v>
      </c>
      <c r="G75">
        <v>-0.01</v>
      </c>
      <c r="H75">
        <v>1.5900000000000001E-2</v>
      </c>
      <c r="I75">
        <v>5.0000000000000001E-3</v>
      </c>
      <c r="J75">
        <v>4.1200000000000001E-2</v>
      </c>
      <c r="K75">
        <v>7.9000000000000008E-3</v>
      </c>
      <c r="L75">
        <v>5.4000000000000003E-3</v>
      </c>
      <c r="AI75">
        <v>2.4799999999999999E-2</v>
      </c>
      <c r="AJ75">
        <v>-4.0000000000000001E-3</v>
      </c>
      <c r="AK75">
        <v>-1.2E-2</v>
      </c>
    </row>
    <row r="76" spans="1:37" x14ac:dyDescent="0.35">
      <c r="A76" s="61">
        <v>45881</v>
      </c>
      <c r="B76">
        <v>-1.26E-2</v>
      </c>
      <c r="C76">
        <v>-1.8E-3</v>
      </c>
      <c r="D76">
        <v>1.12E-2</v>
      </c>
      <c r="E76">
        <v>3.0999999999999999E-3</v>
      </c>
      <c r="F76">
        <v>2.4799999999999999E-2</v>
      </c>
      <c r="G76">
        <v>-4.0000000000000001E-3</v>
      </c>
      <c r="H76">
        <v>1.4500000000000001E-2</v>
      </c>
      <c r="I76">
        <v>-2.5999999999999999E-3</v>
      </c>
      <c r="J76">
        <v>-1.2E-2</v>
      </c>
      <c r="K76">
        <v>-2.2800000000000001E-2</v>
      </c>
      <c r="L76">
        <v>-4.0000000000000001E-3</v>
      </c>
      <c r="AI76">
        <v>1.4800000000000001E-2</v>
      </c>
      <c r="AJ76">
        <v>2.9499999999999998E-2</v>
      </c>
      <c r="AK76">
        <v>5.8599999999999999E-2</v>
      </c>
    </row>
    <row r="77" spans="1:37" x14ac:dyDescent="0.35">
      <c r="A77" s="61">
        <v>45880</v>
      </c>
      <c r="B77">
        <v>7.7999999999999996E-3</v>
      </c>
      <c r="C77">
        <v>1.4E-3</v>
      </c>
      <c r="D77">
        <v>-7.1999999999999998E-3</v>
      </c>
      <c r="E77">
        <v>1.17E-2</v>
      </c>
      <c r="F77">
        <v>1.4800000000000001E-2</v>
      </c>
      <c r="G77">
        <v>2.9499999999999998E-2</v>
      </c>
      <c r="H77">
        <v>-7.7999999999999996E-3</v>
      </c>
      <c r="I77">
        <v>8.5000000000000006E-3</v>
      </c>
      <c r="J77">
        <v>5.8599999999999999E-2</v>
      </c>
      <c r="K77">
        <v>6.3E-3</v>
      </c>
      <c r="L77">
        <v>9.1000000000000004E-3</v>
      </c>
      <c r="AI77">
        <v>-9.2999999999999992E-3</v>
      </c>
      <c r="AJ77">
        <v>-3.5000000000000001E-3</v>
      </c>
      <c r="AK77">
        <v>-5.7000000000000002E-3</v>
      </c>
    </row>
    <row r="78" spans="1:37" x14ac:dyDescent="0.35">
      <c r="A78" s="61">
        <v>45877</v>
      </c>
      <c r="B78">
        <v>-1.8599999999999998E-2</v>
      </c>
      <c r="C78">
        <v>-3.5000000000000001E-3</v>
      </c>
      <c r="D78">
        <v>3.1600000000000003E-2</v>
      </c>
      <c r="E78">
        <v>-6.4999999999999997E-3</v>
      </c>
      <c r="F78">
        <v>-9.2999999999999992E-3</v>
      </c>
      <c r="G78">
        <v>-3.5000000000000001E-3</v>
      </c>
      <c r="H78">
        <v>-9.2999999999999992E-3</v>
      </c>
      <c r="I78">
        <v>-9.7000000000000003E-3</v>
      </c>
      <c r="J78">
        <v>-5.7000000000000002E-3</v>
      </c>
      <c r="K78">
        <v>-1.0800000000000001E-2</v>
      </c>
      <c r="L78">
        <v>-9.4999999999999998E-3</v>
      </c>
      <c r="AI78">
        <v>-1.2500000000000001E-2</v>
      </c>
      <c r="AJ78">
        <v>2.0299999999999999E-2</v>
      </c>
      <c r="AK78">
        <v>-1.09E-2</v>
      </c>
    </row>
    <row r="79" spans="1:37" x14ac:dyDescent="0.35">
      <c r="A79" s="61">
        <v>45876</v>
      </c>
      <c r="B79">
        <v>5.9999999999999995E-4</v>
      </c>
      <c r="C79">
        <v>4.7999999999999996E-3</v>
      </c>
      <c r="D79">
        <v>-8.6999999999999994E-3</v>
      </c>
      <c r="E79">
        <v>2.06E-2</v>
      </c>
      <c r="F79">
        <v>-1.2500000000000001E-2</v>
      </c>
      <c r="G79">
        <v>2.0299999999999999E-2</v>
      </c>
      <c r="H79">
        <v>1.12E-2</v>
      </c>
      <c r="I79">
        <v>8.9999999999999998E-4</v>
      </c>
      <c r="J79">
        <v>-1.09E-2</v>
      </c>
      <c r="K79">
        <v>-7.4000000000000003E-3</v>
      </c>
      <c r="L79">
        <v>8.9999999999999998E-4</v>
      </c>
      <c r="AI79">
        <v>-1.0500000000000001E-2</v>
      </c>
      <c r="AJ79">
        <v>-2.0799999999999999E-2</v>
      </c>
      <c r="AK79">
        <v>-1.4500000000000001E-2</v>
      </c>
    </row>
    <row r="80" spans="1:37" x14ac:dyDescent="0.35">
      <c r="A80" s="61">
        <v>45875</v>
      </c>
      <c r="B80">
        <v>-1.4999999999999999E-2</v>
      </c>
      <c r="C80">
        <v>-1.03E-2</v>
      </c>
      <c r="D80">
        <v>5.9999999999999995E-4</v>
      </c>
      <c r="E80">
        <v>-1.8100000000000002E-2</v>
      </c>
      <c r="F80">
        <v>-1.0500000000000001E-2</v>
      </c>
      <c r="G80">
        <v>-2.0799999999999999E-2</v>
      </c>
      <c r="H80">
        <v>-3.0000000000000001E-3</v>
      </c>
      <c r="I80">
        <v>5.1999999999999998E-3</v>
      </c>
      <c r="J80">
        <v>-1.4500000000000001E-2</v>
      </c>
      <c r="K80">
        <v>-3.7000000000000002E-3</v>
      </c>
      <c r="L80">
        <v>-3.0999999999999999E-3</v>
      </c>
      <c r="AI80">
        <v>5.0000000000000001E-4</v>
      </c>
      <c r="AJ80">
        <v>-7.7000000000000002E-3</v>
      </c>
      <c r="AK80">
        <v>-3.3399999999999999E-2</v>
      </c>
    </row>
    <row r="81" spans="1:37" x14ac:dyDescent="0.35">
      <c r="A81" s="61">
        <v>45874</v>
      </c>
      <c r="B81">
        <v>-4.4000000000000003E-3</v>
      </c>
      <c r="C81">
        <v>-3.3999999999999998E-3</v>
      </c>
      <c r="D81">
        <v>-3.3999999999999998E-3</v>
      </c>
      <c r="E81">
        <v>-6.4999999999999997E-3</v>
      </c>
      <c r="F81">
        <v>5.0000000000000001E-4</v>
      </c>
      <c r="G81">
        <v>-7.7000000000000002E-3</v>
      </c>
      <c r="H81">
        <v>-8.9999999999999998E-4</v>
      </c>
      <c r="I81">
        <v>-5.1000000000000004E-3</v>
      </c>
      <c r="J81">
        <v>-3.3399999999999999E-2</v>
      </c>
      <c r="K81">
        <v>9.4000000000000004E-3</v>
      </c>
      <c r="L81">
        <v>-3.0000000000000001E-3</v>
      </c>
      <c r="AI81">
        <v>3.8E-3</v>
      </c>
      <c r="AJ81">
        <v>0.03</v>
      </c>
      <c r="AK81">
        <v>-2.24E-2</v>
      </c>
    </row>
    <row r="82" spans="1:37" x14ac:dyDescent="0.35">
      <c r="A82" s="61">
        <v>45873</v>
      </c>
      <c r="B82">
        <v>4.0000000000000002E-4</v>
      </c>
      <c r="C82">
        <v>2.3800000000000002E-2</v>
      </c>
      <c r="D82">
        <v>1.18E-2</v>
      </c>
      <c r="E82">
        <v>-1.78E-2</v>
      </c>
      <c r="F82">
        <v>3.8E-3</v>
      </c>
      <c r="G82">
        <v>0.03</v>
      </c>
      <c r="H82">
        <v>1.49E-2</v>
      </c>
      <c r="I82">
        <v>2.1600000000000001E-2</v>
      </c>
      <c r="J82">
        <v>-2.24E-2</v>
      </c>
      <c r="K82">
        <v>4.8999999999999998E-3</v>
      </c>
      <c r="L82">
        <v>6.4000000000000003E-3</v>
      </c>
      <c r="AI82">
        <v>1.3599999999999999E-2</v>
      </c>
      <c r="AJ82">
        <v>-3.5900000000000001E-2</v>
      </c>
      <c r="AK82">
        <v>1.8800000000000001E-2</v>
      </c>
    </row>
    <row r="83" spans="1:37" x14ac:dyDescent="0.35">
      <c r="A83" s="61">
        <v>45870</v>
      </c>
      <c r="B83">
        <v>1.2800000000000001E-2</v>
      </c>
      <c r="C83">
        <v>-1.11E-2</v>
      </c>
      <c r="D83">
        <v>-1.1299999999999999E-2</v>
      </c>
      <c r="E83">
        <v>-1.7000000000000001E-2</v>
      </c>
      <c r="F83">
        <v>1.3599999999999999E-2</v>
      </c>
      <c r="G83">
        <v>-3.5900000000000001E-2</v>
      </c>
      <c r="H83">
        <v>-2.0400000000000001E-2</v>
      </c>
      <c r="I83">
        <v>-1.32E-2</v>
      </c>
      <c r="J83">
        <v>1.8800000000000001E-2</v>
      </c>
      <c r="K83">
        <v>-3.3300000000000003E-2</v>
      </c>
      <c r="L83">
        <v>-8.2000000000000007E-3</v>
      </c>
      <c r="AI83">
        <v>3.1199999999999999E-2</v>
      </c>
      <c r="AJ83">
        <v>-2.7000000000000001E-3</v>
      </c>
      <c r="AK83">
        <v>-9.9000000000000008E-3</v>
      </c>
    </row>
    <row r="84" spans="1:37" x14ac:dyDescent="0.35">
      <c r="A84" s="61">
        <v>45869</v>
      </c>
      <c r="B84">
        <v>7.3000000000000001E-3</v>
      </c>
      <c r="C84">
        <v>-5.4999999999999997E-3</v>
      </c>
      <c r="D84">
        <v>-7.7999999999999996E-3</v>
      </c>
      <c r="E84">
        <v>3.0000000000000001E-3</v>
      </c>
      <c r="F84">
        <v>3.1199999999999999E-2</v>
      </c>
      <c r="G84">
        <v>-2.7000000000000001E-3</v>
      </c>
      <c r="H84">
        <v>-1.9400000000000001E-2</v>
      </c>
      <c r="I84">
        <v>7.1000000000000004E-3</v>
      </c>
      <c r="J84">
        <v>-9.9000000000000008E-3</v>
      </c>
      <c r="K84">
        <v>-1.9300000000000001E-2</v>
      </c>
      <c r="L84">
        <v>-3.5000000000000001E-3</v>
      </c>
      <c r="AI84">
        <v>-6.7000000000000002E-3</v>
      </c>
      <c r="AJ84">
        <v>-4.7999999999999996E-3</v>
      </c>
      <c r="AK84">
        <v>2.87E-2</v>
      </c>
    </row>
    <row r="85" spans="1:37" x14ac:dyDescent="0.35">
      <c r="A85" s="61">
        <v>45868</v>
      </c>
      <c r="B85">
        <v>3.5000000000000001E-3</v>
      </c>
      <c r="C85">
        <v>-8.0000000000000004E-4</v>
      </c>
      <c r="D85">
        <v>3.3E-3</v>
      </c>
      <c r="E85">
        <v>-0.01</v>
      </c>
      <c r="F85">
        <v>-6.7000000000000002E-3</v>
      </c>
      <c r="G85">
        <v>-4.7999999999999996E-3</v>
      </c>
      <c r="H85">
        <v>-1.1299999999999999E-2</v>
      </c>
      <c r="I85">
        <v>-7.7999999999999996E-3</v>
      </c>
      <c r="J85">
        <v>2.87E-2</v>
      </c>
      <c r="K85">
        <v>1.6899999999999998E-2</v>
      </c>
      <c r="L85">
        <v>1.4E-3</v>
      </c>
      <c r="AI85">
        <v>2.47E-2</v>
      </c>
      <c r="AJ85">
        <v>3.8399999999999997E-2</v>
      </c>
      <c r="AK85">
        <v>5.1700000000000003E-2</v>
      </c>
    </row>
    <row r="86" spans="1:37" x14ac:dyDescent="0.35">
      <c r="A86" s="61">
        <v>45867</v>
      </c>
      <c r="B86">
        <v>-2.5000000000000001E-3</v>
      </c>
      <c r="C86">
        <v>-7.6E-3</v>
      </c>
      <c r="D86">
        <v>9.2999999999999992E-3</v>
      </c>
      <c r="E86">
        <v>4.0099999999999997E-2</v>
      </c>
      <c r="F86">
        <v>2.47E-2</v>
      </c>
      <c r="G86">
        <v>3.8399999999999997E-2</v>
      </c>
      <c r="H86">
        <v>1.24E-2</v>
      </c>
      <c r="I86">
        <v>-1.06E-2</v>
      </c>
      <c r="J86">
        <v>5.1700000000000003E-2</v>
      </c>
      <c r="K86">
        <v>2.8E-3</v>
      </c>
      <c r="L86">
        <v>5.7000000000000002E-3</v>
      </c>
      <c r="AI86">
        <v>-2.3400000000000001E-2</v>
      </c>
      <c r="AJ86">
        <v>1.1000000000000001E-3</v>
      </c>
      <c r="AK86">
        <v>-5.8200000000000002E-2</v>
      </c>
    </row>
    <row r="87" spans="1:37" x14ac:dyDescent="0.35">
      <c r="A87" s="61">
        <v>45866</v>
      </c>
      <c r="B87">
        <v>-1.9900000000000001E-2</v>
      </c>
      <c r="C87">
        <v>-1.7999999999999999E-2</v>
      </c>
      <c r="D87">
        <v>4.4999999999999997E-3</v>
      </c>
      <c r="E87">
        <v>5.3E-3</v>
      </c>
      <c r="F87">
        <v>-2.3400000000000001E-2</v>
      </c>
      <c r="G87">
        <v>1.1000000000000001E-3</v>
      </c>
      <c r="H87">
        <v>-1.6299999999999999E-2</v>
      </c>
      <c r="I87">
        <v>-2.0500000000000001E-2</v>
      </c>
      <c r="J87">
        <v>-5.8200000000000002E-2</v>
      </c>
      <c r="K87">
        <v>-2.3999999999999998E-3</v>
      </c>
      <c r="L87">
        <v>-6.3E-3</v>
      </c>
      <c r="AI87">
        <v>2.0999999999999999E-3</v>
      </c>
      <c r="AJ87">
        <v>-2.69E-2</v>
      </c>
      <c r="AK87">
        <v>-2.1100000000000001E-2</v>
      </c>
    </row>
    <row r="88" spans="1:37" x14ac:dyDescent="0.35">
      <c r="A88" s="61">
        <v>45863</v>
      </c>
      <c r="B88">
        <v>-2.0500000000000001E-2</v>
      </c>
      <c r="C88">
        <v>-3.8999999999999998E-3</v>
      </c>
      <c r="D88">
        <v>-3.2899999999999999E-2</v>
      </c>
      <c r="E88">
        <v>2.3800000000000002E-2</v>
      </c>
      <c r="F88">
        <v>2.0999999999999999E-3</v>
      </c>
      <c r="G88">
        <v>-2.69E-2</v>
      </c>
      <c r="H88">
        <v>-1.55E-2</v>
      </c>
      <c r="I88">
        <v>-8.5000000000000006E-3</v>
      </c>
      <c r="J88">
        <v>-2.1100000000000001E-2</v>
      </c>
      <c r="K88">
        <v>2.0000000000000001E-4</v>
      </c>
      <c r="L88">
        <v>-8.9999999999999993E-3</v>
      </c>
      <c r="AI88">
        <v>-1.06E-2</v>
      </c>
      <c r="AJ88">
        <v>-5.4000000000000003E-3</v>
      </c>
      <c r="AK88">
        <v>-2.0899999999999998E-2</v>
      </c>
    </row>
    <row r="89" spans="1:37" x14ac:dyDescent="0.35">
      <c r="A89" s="61">
        <v>45862</v>
      </c>
      <c r="B89">
        <v>-5.3199999999999997E-2</v>
      </c>
      <c r="C89">
        <v>-9.7999999999999997E-3</v>
      </c>
      <c r="D89">
        <v>-5.4000000000000003E-3</v>
      </c>
      <c r="E89">
        <v>-9.4999999999999998E-3</v>
      </c>
      <c r="F89">
        <v>-1.06E-2</v>
      </c>
      <c r="G89">
        <v>-5.4000000000000003E-3</v>
      </c>
      <c r="H89">
        <v>-1.6999999999999999E-3</v>
      </c>
      <c r="I89">
        <v>-4.1000000000000003E-3</v>
      </c>
      <c r="J89">
        <v>-2.0899999999999998E-2</v>
      </c>
      <c r="K89">
        <v>-7.4999999999999997E-3</v>
      </c>
      <c r="L89">
        <v>-6.3E-3</v>
      </c>
      <c r="AI89">
        <v>1E-3</v>
      </c>
      <c r="AJ89">
        <v>-2.7000000000000001E-3</v>
      </c>
      <c r="AK89">
        <v>-4.0000000000000001E-3</v>
      </c>
    </row>
    <row r="90" spans="1:37" x14ac:dyDescent="0.35">
      <c r="A90" s="61">
        <v>45861</v>
      </c>
      <c r="B90">
        <v>3.7000000000000002E-3</v>
      </c>
      <c r="C90">
        <v>6.1999999999999998E-3</v>
      </c>
      <c r="D90">
        <v>3.2000000000000002E-3</v>
      </c>
      <c r="E90">
        <v>1.43E-2</v>
      </c>
      <c r="F90">
        <v>1E-3</v>
      </c>
      <c r="G90">
        <v>-2.7000000000000001E-3</v>
      </c>
      <c r="H90">
        <v>8.2000000000000007E-3</v>
      </c>
      <c r="I90">
        <v>-8.8000000000000005E-3</v>
      </c>
      <c r="J90">
        <v>-4.0000000000000001E-3</v>
      </c>
      <c r="K90">
        <v>2.8E-3</v>
      </c>
      <c r="L90">
        <v>6.3E-3</v>
      </c>
      <c r="AI90">
        <v>-8.6E-3</v>
      </c>
      <c r="AJ90">
        <v>-1.01E-2</v>
      </c>
      <c r="AK90">
        <v>-1.2800000000000001E-2</v>
      </c>
    </row>
    <row r="91" spans="1:37" x14ac:dyDescent="0.35">
      <c r="A91" s="61">
        <v>45860</v>
      </c>
      <c r="B91">
        <v>-1.18E-2</v>
      </c>
      <c r="C91">
        <v>4.0000000000000002E-4</v>
      </c>
      <c r="D91">
        <v>-9.7999999999999997E-3</v>
      </c>
      <c r="E91">
        <v>-5.7999999999999996E-3</v>
      </c>
      <c r="F91">
        <v>-8.6E-3</v>
      </c>
      <c r="G91">
        <v>-1.01E-2</v>
      </c>
      <c r="H91">
        <v>-3.3E-3</v>
      </c>
      <c r="I91">
        <v>5.1000000000000004E-3</v>
      </c>
      <c r="J91">
        <v>-1.2800000000000001E-2</v>
      </c>
      <c r="K91">
        <v>-1.95E-2</v>
      </c>
      <c r="L91">
        <v>-1.1999999999999999E-3</v>
      </c>
      <c r="AI91">
        <v>6.1000000000000004E-3</v>
      </c>
      <c r="AJ91">
        <v>3.3E-3</v>
      </c>
      <c r="AK91">
        <v>1.24E-2</v>
      </c>
    </row>
    <row r="92" spans="1:37" x14ac:dyDescent="0.35">
      <c r="A92" s="61">
        <v>45859</v>
      </c>
      <c r="B92">
        <v>2.0000000000000001E-4</v>
      </c>
      <c r="C92">
        <v>-9.9000000000000008E-3</v>
      </c>
      <c r="D92">
        <v>5.4000000000000003E-3</v>
      </c>
      <c r="E92">
        <v>6.9999999999999999E-4</v>
      </c>
      <c r="F92">
        <v>6.1000000000000004E-3</v>
      </c>
      <c r="G92">
        <v>3.3E-3</v>
      </c>
      <c r="H92">
        <v>2.1000000000000001E-2</v>
      </c>
      <c r="I92">
        <v>1.0200000000000001E-2</v>
      </c>
      <c r="J92">
        <v>1.24E-2</v>
      </c>
      <c r="K92">
        <v>4.1999999999999997E-3</v>
      </c>
      <c r="L92">
        <v>4.8999999999999998E-3</v>
      </c>
      <c r="AI92">
        <v>-7.1000000000000004E-3</v>
      </c>
      <c r="AJ92">
        <v>-6.7000000000000002E-3</v>
      </c>
      <c r="AK92">
        <v>-1.66E-2</v>
      </c>
    </row>
    <row r="93" spans="1:37" x14ac:dyDescent="0.35">
      <c r="A93" s="61">
        <v>45856</v>
      </c>
      <c r="B93">
        <v>9.4000000000000004E-3</v>
      </c>
      <c r="C93">
        <v>-6.0000000000000001E-3</v>
      </c>
      <c r="D93">
        <v>-5.4999999999999997E-3</v>
      </c>
      <c r="E93">
        <v>4.7999999999999996E-3</v>
      </c>
      <c r="F93">
        <v>-7.1000000000000004E-3</v>
      </c>
      <c r="G93">
        <v>-6.7000000000000002E-3</v>
      </c>
      <c r="H93">
        <v>-3.7000000000000002E-3</v>
      </c>
      <c r="I93">
        <v>-1.1299999999999999E-2</v>
      </c>
      <c r="J93">
        <v>-1.66E-2</v>
      </c>
      <c r="K93">
        <v>1.8599999999999998E-2</v>
      </c>
      <c r="L93">
        <v>-5.7000000000000002E-3</v>
      </c>
      <c r="AI93">
        <v>-1E-4</v>
      </c>
      <c r="AJ93">
        <v>-1.03E-2</v>
      </c>
      <c r="AK93">
        <v>-1.41E-2</v>
      </c>
    </row>
    <row r="94" spans="1:37" x14ac:dyDescent="0.35">
      <c r="A94" s="61">
        <v>45855</v>
      </c>
      <c r="B94">
        <v>-4.4000000000000003E-3</v>
      </c>
      <c r="C94">
        <v>-7.4000000000000003E-3</v>
      </c>
      <c r="D94">
        <v>-4.7000000000000002E-3</v>
      </c>
      <c r="E94">
        <v>1.2999999999999999E-2</v>
      </c>
      <c r="F94">
        <v>-1E-4</v>
      </c>
      <c r="G94">
        <v>-1.03E-2</v>
      </c>
      <c r="H94">
        <v>4.4000000000000003E-3</v>
      </c>
      <c r="I94">
        <v>8.0000000000000002E-3</v>
      </c>
      <c r="J94">
        <v>-1.41E-2</v>
      </c>
      <c r="K94">
        <v>4.4000000000000003E-3</v>
      </c>
      <c r="L94">
        <v>-4.0000000000000001E-3</v>
      </c>
      <c r="AI94">
        <v>-7.7000000000000002E-3</v>
      </c>
      <c r="AJ94">
        <v>-5.3E-3</v>
      </c>
      <c r="AK94">
        <v>-3.4200000000000001E-2</v>
      </c>
    </row>
    <row r="95" spans="1:37" x14ac:dyDescent="0.35">
      <c r="A95" s="61">
        <v>45854</v>
      </c>
      <c r="B95">
        <v>1.8100000000000002E-2</v>
      </c>
      <c r="C95">
        <v>-5.8999999999999999E-3</v>
      </c>
      <c r="D95">
        <v>8.0999999999999996E-3</v>
      </c>
      <c r="E95">
        <v>5.7999999999999996E-3</v>
      </c>
      <c r="F95">
        <v>-7.7000000000000002E-3</v>
      </c>
      <c r="G95">
        <v>-5.3E-3</v>
      </c>
      <c r="H95">
        <v>-5.1000000000000004E-3</v>
      </c>
      <c r="I95">
        <v>3.32E-2</v>
      </c>
      <c r="J95">
        <v>-3.4200000000000001E-2</v>
      </c>
      <c r="K95">
        <v>-2.7000000000000001E-3</v>
      </c>
      <c r="L95">
        <v>5.9999999999999995E-4</v>
      </c>
      <c r="AI95">
        <v>1.6000000000000001E-3</v>
      </c>
      <c r="AJ95">
        <v>-2.3999999999999998E-3</v>
      </c>
      <c r="AK95">
        <v>1E-3</v>
      </c>
    </row>
    <row r="96" spans="1:37" x14ac:dyDescent="0.35">
      <c r="A96" s="61">
        <v>45853</v>
      </c>
      <c r="B96">
        <v>9.7999999999999997E-3</v>
      </c>
      <c r="C96">
        <v>9.1999999999999998E-3</v>
      </c>
      <c r="D96">
        <v>9.5999999999999992E-3</v>
      </c>
      <c r="E96">
        <v>1.0200000000000001E-2</v>
      </c>
      <c r="F96">
        <v>1.6000000000000001E-3</v>
      </c>
      <c r="G96">
        <v>-2.3999999999999998E-3</v>
      </c>
      <c r="H96">
        <v>2.5000000000000001E-3</v>
      </c>
      <c r="I96">
        <v>8.0000000000000002E-3</v>
      </c>
      <c r="J96">
        <v>1E-3</v>
      </c>
      <c r="K96">
        <v>8.8999999999999999E-3</v>
      </c>
      <c r="L96">
        <v>4.4999999999999997E-3</v>
      </c>
      <c r="AI96">
        <v>2.1499999999999998E-2</v>
      </c>
      <c r="AJ96">
        <v>9.2999999999999992E-3</v>
      </c>
      <c r="AK96">
        <v>-1.04E-2</v>
      </c>
    </row>
    <row r="97" spans="1:37" x14ac:dyDescent="0.35">
      <c r="A97" s="61">
        <v>45852</v>
      </c>
      <c r="B97">
        <v>-4.4000000000000003E-3</v>
      </c>
      <c r="C97">
        <v>-1.3299999999999999E-2</v>
      </c>
      <c r="D97">
        <v>-6.4999999999999997E-3</v>
      </c>
      <c r="E97">
        <v>2.7400000000000001E-2</v>
      </c>
      <c r="F97">
        <v>2.1499999999999998E-2</v>
      </c>
      <c r="G97">
        <v>9.2999999999999992E-3</v>
      </c>
      <c r="H97">
        <v>2.69E-2</v>
      </c>
      <c r="I97">
        <v>1.9E-3</v>
      </c>
      <c r="J97">
        <v>-1.04E-2</v>
      </c>
      <c r="K97">
        <v>8.9999999999999998E-4</v>
      </c>
      <c r="L97">
        <v>-2.7000000000000001E-3</v>
      </c>
      <c r="AI97">
        <v>4.1999999999999997E-3</v>
      </c>
      <c r="AJ97">
        <v>-3.0999999999999999E-3</v>
      </c>
      <c r="AK97">
        <v>-4.8999999999999998E-3</v>
      </c>
    </row>
    <row r="98" spans="1:37" x14ac:dyDescent="0.35">
      <c r="A98" s="61">
        <v>45849</v>
      </c>
      <c r="B98">
        <v>8.9999999999999998E-4</v>
      </c>
      <c r="C98">
        <v>-3.4299999999999997E-2</v>
      </c>
      <c r="D98">
        <v>-4.4999999999999997E-3</v>
      </c>
      <c r="E98">
        <v>-7.4999999999999997E-3</v>
      </c>
      <c r="F98">
        <v>4.1999999999999997E-3</v>
      </c>
      <c r="G98">
        <v>-3.0999999999999999E-3</v>
      </c>
      <c r="H98">
        <v>5.0000000000000001E-3</v>
      </c>
      <c r="I98">
        <v>1.4500000000000001E-2</v>
      </c>
      <c r="J98">
        <v>-4.8999999999999998E-3</v>
      </c>
      <c r="K98">
        <v>-2.3699999999999999E-2</v>
      </c>
      <c r="L98">
        <v>-8.0999999999999996E-3</v>
      </c>
      <c r="AI98">
        <v>1.8E-3</v>
      </c>
      <c r="AJ98">
        <v>6.1000000000000004E-3</v>
      </c>
      <c r="AK98">
        <v>-2.87E-2</v>
      </c>
    </row>
    <row r="99" spans="1:37" x14ac:dyDescent="0.35">
      <c r="A99" s="61">
        <v>45848</v>
      </c>
      <c r="B99">
        <v>-1.09E-2</v>
      </c>
      <c r="C99">
        <v>-5.0000000000000001E-4</v>
      </c>
      <c r="D99">
        <v>-2.06E-2</v>
      </c>
      <c r="E99">
        <v>-4.3E-3</v>
      </c>
      <c r="F99">
        <v>1.8E-3</v>
      </c>
      <c r="G99">
        <v>6.1000000000000004E-3</v>
      </c>
      <c r="H99">
        <v>-5.1999999999999998E-3</v>
      </c>
      <c r="I99">
        <v>-8.9999999999999998E-4</v>
      </c>
      <c r="J99">
        <v>-2.87E-2</v>
      </c>
      <c r="K99">
        <v>-4.4000000000000003E-3</v>
      </c>
      <c r="L99">
        <v>-4.7000000000000002E-3</v>
      </c>
      <c r="AI99">
        <v>1.7500000000000002E-2</v>
      </c>
      <c r="AJ99">
        <v>3.5999999999999999E-3</v>
      </c>
      <c r="AK99">
        <v>4.58E-2</v>
      </c>
    </row>
    <row r="100" spans="1:37" x14ac:dyDescent="0.35">
      <c r="A100" s="61">
        <v>45847</v>
      </c>
      <c r="B100">
        <v>4.1000000000000003E-3</v>
      </c>
      <c r="C100">
        <v>-6.6E-3</v>
      </c>
      <c r="D100">
        <v>-8.9999999999999998E-4</v>
      </c>
      <c r="E100">
        <v>9.4000000000000004E-3</v>
      </c>
      <c r="F100">
        <v>1.7500000000000002E-2</v>
      </c>
      <c r="G100">
        <v>3.5999999999999999E-3</v>
      </c>
      <c r="H100">
        <v>-2.5700000000000001E-2</v>
      </c>
      <c r="I100">
        <v>-2.8799999999999999E-2</v>
      </c>
      <c r="J100">
        <v>4.58E-2</v>
      </c>
      <c r="K100">
        <v>-1.2999999999999999E-3</v>
      </c>
      <c r="L100">
        <v>-1.8E-3</v>
      </c>
      <c r="AI100">
        <v>-2.1899999999999999E-2</v>
      </c>
      <c r="AJ100">
        <v>4.7999999999999996E-3</v>
      </c>
      <c r="AK100">
        <v>-1.14E-2</v>
      </c>
    </row>
    <row r="101" spans="1:37" x14ac:dyDescent="0.35">
      <c r="A101" s="61">
        <v>45846</v>
      </c>
      <c r="B101">
        <v>-1.6999999999999999E-3</v>
      </c>
      <c r="C101">
        <v>-1.6000000000000001E-3</v>
      </c>
      <c r="D101">
        <v>3.3E-3</v>
      </c>
      <c r="E101">
        <v>-8.8999999999999999E-3</v>
      </c>
      <c r="F101">
        <v>-2.1899999999999999E-2</v>
      </c>
      <c r="G101">
        <v>4.7999999999999996E-3</v>
      </c>
      <c r="H101">
        <v>-3.0000000000000001E-3</v>
      </c>
      <c r="I101">
        <v>-2.7300000000000001E-2</v>
      </c>
      <c r="J101">
        <v>-1.14E-2</v>
      </c>
      <c r="K101">
        <v>-2.7000000000000001E-3</v>
      </c>
      <c r="L101">
        <v>2.3999999999999998E-3</v>
      </c>
      <c r="AI101">
        <v>1.7999999999999999E-2</v>
      </c>
      <c r="AJ101">
        <v>2.1100000000000001E-2</v>
      </c>
      <c r="AK101">
        <v>-3.39E-2</v>
      </c>
    </row>
    <row r="102" spans="1:37" x14ac:dyDescent="0.35">
      <c r="A102" s="61">
        <v>45845</v>
      </c>
      <c r="B102">
        <v>1.2200000000000001E-2</v>
      </c>
      <c r="C102">
        <v>-2.3999999999999998E-3</v>
      </c>
      <c r="D102">
        <v>3.2000000000000002E-3</v>
      </c>
      <c r="E102">
        <v>-4.7000000000000002E-3</v>
      </c>
      <c r="F102">
        <v>1.7999999999999999E-2</v>
      </c>
      <c r="G102">
        <v>2.1100000000000001E-2</v>
      </c>
      <c r="H102">
        <v>-1.7100000000000001E-2</v>
      </c>
      <c r="I102">
        <v>1.6799999999999999E-2</v>
      </c>
      <c r="J102">
        <v>-3.39E-2</v>
      </c>
      <c r="K102">
        <v>3.3E-3</v>
      </c>
      <c r="L102">
        <v>0</v>
      </c>
      <c r="AI102">
        <v>-1.3299999999999999E-2</v>
      </c>
      <c r="AJ102">
        <v>-5.3E-3</v>
      </c>
      <c r="AK102">
        <v>-7.6E-3</v>
      </c>
    </row>
    <row r="103" spans="1:37" x14ac:dyDescent="0.35">
      <c r="A103" s="61">
        <v>45842</v>
      </c>
      <c r="B103">
        <v>1.8E-3</v>
      </c>
      <c r="C103">
        <v>5.5999999999999999E-3</v>
      </c>
      <c r="D103">
        <v>-5.5999999999999999E-3</v>
      </c>
      <c r="E103">
        <v>1.0200000000000001E-2</v>
      </c>
      <c r="F103">
        <v>-1.3299999999999999E-2</v>
      </c>
      <c r="G103">
        <v>-5.3E-3</v>
      </c>
      <c r="H103">
        <v>-1E-3</v>
      </c>
      <c r="I103">
        <v>4.3099999999999999E-2</v>
      </c>
      <c r="J103">
        <v>-7.6E-3</v>
      </c>
      <c r="K103">
        <v>-8.8000000000000005E-3</v>
      </c>
      <c r="L103">
        <v>2.2000000000000001E-3</v>
      </c>
      <c r="AI103">
        <v>-1.4999999999999999E-2</v>
      </c>
      <c r="AJ103">
        <v>-5.8999999999999999E-3</v>
      </c>
      <c r="AK103">
        <v>-2.3099999999999999E-2</v>
      </c>
    </row>
    <row r="104" spans="1:37" x14ac:dyDescent="0.35">
      <c r="A104" s="61">
        <v>45841</v>
      </c>
      <c r="B104">
        <v>2.0000000000000001E-4</v>
      </c>
      <c r="C104">
        <v>-6.6E-3</v>
      </c>
      <c r="D104">
        <v>-1.2500000000000001E-2</v>
      </c>
      <c r="E104">
        <v>-4.5999999999999999E-3</v>
      </c>
      <c r="F104">
        <v>-1.4999999999999999E-2</v>
      </c>
      <c r="G104">
        <v>-5.8999999999999999E-3</v>
      </c>
      <c r="H104">
        <v>-3.7000000000000002E-3</v>
      </c>
      <c r="I104">
        <v>-2.35E-2</v>
      </c>
      <c r="J104">
        <v>-2.3099999999999999E-2</v>
      </c>
      <c r="K104">
        <v>-1.6299999999999999E-2</v>
      </c>
      <c r="L104">
        <v>-1.9E-3</v>
      </c>
      <c r="AI104">
        <v>-5.2200000000000003E-2</v>
      </c>
      <c r="AJ104">
        <v>0</v>
      </c>
      <c r="AK104">
        <v>2.8899999999999999E-2</v>
      </c>
    </row>
    <row r="105" spans="1:37" x14ac:dyDescent="0.35">
      <c r="A105" s="61">
        <v>45840</v>
      </c>
      <c r="B105">
        <v>-9.1999999999999998E-3</v>
      </c>
      <c r="C105">
        <v>-1.9E-3</v>
      </c>
      <c r="D105">
        <v>-1.3299999999999999E-2</v>
      </c>
      <c r="E105">
        <v>-1.9699999999999999E-2</v>
      </c>
      <c r="F105">
        <v>-5.2200000000000003E-2</v>
      </c>
      <c r="G105">
        <v>0</v>
      </c>
      <c r="H105">
        <v>-7.0000000000000001E-3</v>
      </c>
      <c r="I105">
        <v>-2.9499999999999998E-2</v>
      </c>
      <c r="J105">
        <v>2.8899999999999999E-2</v>
      </c>
      <c r="K105">
        <v>4.7300000000000002E-2</v>
      </c>
      <c r="L105">
        <v>-3.5000000000000001E-3</v>
      </c>
      <c r="AI105">
        <v>9.4999999999999998E-3</v>
      </c>
      <c r="AJ105">
        <v>9.5999999999999992E-3</v>
      </c>
      <c r="AK105">
        <v>-3.2000000000000001E-2</v>
      </c>
    </row>
    <row r="106" spans="1:37" x14ac:dyDescent="0.35">
      <c r="A106" s="61">
        <v>45839</v>
      </c>
      <c r="B106">
        <v>-2.24E-2</v>
      </c>
      <c r="C106">
        <v>-9.2999999999999992E-3</v>
      </c>
      <c r="D106">
        <v>-1.9E-3</v>
      </c>
      <c r="E106">
        <v>2.5000000000000001E-3</v>
      </c>
      <c r="F106">
        <v>9.4999999999999998E-3</v>
      </c>
      <c r="G106">
        <v>9.5999999999999992E-3</v>
      </c>
      <c r="H106">
        <v>-1.1000000000000001E-3</v>
      </c>
      <c r="I106">
        <v>-1.6E-2</v>
      </c>
      <c r="J106">
        <v>-3.2000000000000001E-2</v>
      </c>
      <c r="K106">
        <v>2.0799999999999999E-2</v>
      </c>
      <c r="L106">
        <v>1E-3</v>
      </c>
      <c r="AI106">
        <v>1.2800000000000001E-2</v>
      </c>
      <c r="AJ106">
        <v>2.3999999999999998E-3</v>
      </c>
      <c r="AK106">
        <v>5.0700000000000002E-2</v>
      </c>
    </row>
    <row r="107" spans="1:37" x14ac:dyDescent="0.35">
      <c r="A107" s="61">
        <v>45838</v>
      </c>
      <c r="B107">
        <v>2.7000000000000001E-3</v>
      </c>
      <c r="C107">
        <v>6.1000000000000004E-3</v>
      </c>
      <c r="D107">
        <v>1.5800000000000002E-2</v>
      </c>
      <c r="E107">
        <v>0.02</v>
      </c>
      <c r="F107">
        <v>1.2800000000000001E-2</v>
      </c>
      <c r="G107">
        <v>2.3999999999999998E-3</v>
      </c>
      <c r="H107">
        <v>-6.9999999999999999E-4</v>
      </c>
      <c r="I107">
        <v>3.9800000000000002E-2</v>
      </c>
      <c r="J107">
        <v>5.0700000000000002E-2</v>
      </c>
      <c r="K107">
        <v>7.0000000000000001E-3</v>
      </c>
      <c r="L107">
        <v>-4.7000000000000002E-3</v>
      </c>
      <c r="AI107">
        <v>3.09E-2</v>
      </c>
      <c r="AJ107">
        <v>1.0699999999999999E-2</v>
      </c>
      <c r="AK107">
        <v>1.29E-2</v>
      </c>
    </row>
    <row r="108" spans="1:37" x14ac:dyDescent="0.35">
      <c r="A108" s="61">
        <v>45835</v>
      </c>
      <c r="B108">
        <v>1.12E-2</v>
      </c>
      <c r="C108">
        <v>-2.0000000000000001E-4</v>
      </c>
      <c r="D108">
        <v>2.0000000000000001E-4</v>
      </c>
      <c r="E108">
        <v>3.6900000000000002E-2</v>
      </c>
      <c r="F108">
        <v>3.09E-2</v>
      </c>
      <c r="G108">
        <v>1.0699999999999999E-2</v>
      </c>
      <c r="H108">
        <v>5.0000000000000001E-3</v>
      </c>
      <c r="I108">
        <v>3.0999999999999999E-3</v>
      </c>
      <c r="J108">
        <v>1.29E-2</v>
      </c>
      <c r="K108">
        <v>3.5000000000000001E-3</v>
      </c>
      <c r="L108">
        <v>3.5000000000000001E-3</v>
      </c>
      <c r="AI108">
        <v>0</v>
      </c>
      <c r="AJ108">
        <v>3.7999999999999999E-2</v>
      </c>
      <c r="AK108">
        <v>1.3299999999999999E-2</v>
      </c>
    </row>
    <row r="109" spans="1:37" x14ac:dyDescent="0.35">
      <c r="A109" s="61">
        <v>45834</v>
      </c>
      <c r="B109">
        <v>1.12E-2</v>
      </c>
      <c r="C109">
        <v>-8.9999999999999998E-4</v>
      </c>
      <c r="D109">
        <v>6.7999999999999996E-3</v>
      </c>
      <c r="E109">
        <v>-1.2999999999999999E-3</v>
      </c>
      <c r="F109">
        <v>0</v>
      </c>
      <c r="G109">
        <v>3.7999999999999999E-2</v>
      </c>
      <c r="H109">
        <v>1.54E-2</v>
      </c>
      <c r="I109">
        <v>-1.7500000000000002E-2</v>
      </c>
      <c r="J109">
        <v>1.3299999999999999E-2</v>
      </c>
      <c r="K109">
        <v>5.0000000000000001E-4</v>
      </c>
      <c r="L109">
        <v>1.21E-2</v>
      </c>
      <c r="AI109">
        <v>2.63E-2</v>
      </c>
      <c r="AJ109">
        <v>1.8599999999999998E-2</v>
      </c>
      <c r="AK109">
        <v>6.6600000000000006E-2</v>
      </c>
    </row>
    <row r="110" spans="1:37" x14ac:dyDescent="0.35">
      <c r="A110" s="61">
        <v>45833</v>
      </c>
      <c r="B110">
        <v>1.6299999999999999E-2</v>
      </c>
      <c r="C110">
        <v>1.6E-2</v>
      </c>
      <c r="D110">
        <v>5.7999999999999996E-3</v>
      </c>
      <c r="E110">
        <v>1.44E-2</v>
      </c>
      <c r="F110">
        <v>2.63E-2</v>
      </c>
      <c r="G110">
        <v>1.8599999999999998E-2</v>
      </c>
      <c r="H110">
        <v>-1.8E-3</v>
      </c>
      <c r="I110">
        <v>1.9800000000000002E-2</v>
      </c>
      <c r="J110">
        <v>6.6600000000000006E-2</v>
      </c>
      <c r="K110">
        <v>1.6E-2</v>
      </c>
      <c r="L110">
        <v>8.0000000000000002E-3</v>
      </c>
      <c r="AI110">
        <v>3.5900000000000001E-2</v>
      </c>
      <c r="AJ110">
        <v>1.6400000000000001E-2</v>
      </c>
      <c r="AK110">
        <v>1.03E-2</v>
      </c>
    </row>
    <row r="111" spans="1:37" x14ac:dyDescent="0.35">
      <c r="A111" s="61">
        <v>45832</v>
      </c>
      <c r="B111">
        <v>2.8E-3</v>
      </c>
      <c r="C111">
        <v>-8.9999999999999998E-4</v>
      </c>
      <c r="D111">
        <v>6.1000000000000004E-3</v>
      </c>
      <c r="E111">
        <v>4.8999999999999998E-3</v>
      </c>
      <c r="F111">
        <v>3.5900000000000001E-2</v>
      </c>
      <c r="G111">
        <v>1.6400000000000001E-2</v>
      </c>
      <c r="H111">
        <v>5.3E-3</v>
      </c>
      <c r="I111">
        <v>3.3E-3</v>
      </c>
      <c r="J111">
        <v>1.03E-2</v>
      </c>
      <c r="K111">
        <v>1.2999999999999999E-3</v>
      </c>
      <c r="L111">
        <v>2.8999999999999998E-3</v>
      </c>
      <c r="AI111">
        <v>-3.3E-3</v>
      </c>
      <c r="AJ111">
        <v>1.46E-2</v>
      </c>
      <c r="AK111">
        <v>-2.2000000000000001E-3</v>
      </c>
    </row>
    <row r="112" spans="1:37" x14ac:dyDescent="0.35">
      <c r="A112" s="61">
        <v>45831</v>
      </c>
      <c r="B112">
        <v>-5.9999999999999995E-4</v>
      </c>
      <c r="C112">
        <v>-1.23E-2</v>
      </c>
      <c r="D112">
        <v>3.5999999999999999E-3</v>
      </c>
      <c r="E112">
        <v>-5.0000000000000001E-4</v>
      </c>
      <c r="F112">
        <v>-3.3E-3</v>
      </c>
      <c r="G112">
        <v>1.46E-2</v>
      </c>
      <c r="H112">
        <v>4.4000000000000003E-3</v>
      </c>
      <c r="I112">
        <v>5.5999999999999999E-3</v>
      </c>
      <c r="J112">
        <v>-2.2000000000000001E-3</v>
      </c>
      <c r="K112">
        <v>-6.4999999999999997E-3</v>
      </c>
      <c r="L112">
        <v>-5.5999999999999999E-3</v>
      </c>
      <c r="AI112">
        <v>5.1499999999999997E-2</v>
      </c>
      <c r="AJ112">
        <v>-1.1599999999999999E-2</v>
      </c>
      <c r="AK112">
        <v>-3.5000000000000001E-3</v>
      </c>
    </row>
    <row r="113" spans="1:37" x14ac:dyDescent="0.35">
      <c r="A113" s="61">
        <v>45828</v>
      </c>
      <c r="B113">
        <v>1.7899999999999999E-2</v>
      </c>
      <c r="C113">
        <v>3.3999999999999998E-3</v>
      </c>
      <c r="D113">
        <v>9.2999999999999992E-3</v>
      </c>
      <c r="E113">
        <v>1E-3</v>
      </c>
      <c r="F113">
        <v>5.1499999999999997E-2</v>
      </c>
      <c r="G113">
        <v>-1.1599999999999999E-2</v>
      </c>
      <c r="H113">
        <v>2.5999999999999999E-3</v>
      </c>
      <c r="I113">
        <v>2.0000000000000001E-4</v>
      </c>
      <c r="J113">
        <v>-3.5000000000000001E-3</v>
      </c>
      <c r="K113">
        <v>3.5000000000000001E-3</v>
      </c>
      <c r="L113">
        <v>1.29E-2</v>
      </c>
      <c r="AI113">
        <v>-1.18E-2</v>
      </c>
      <c r="AJ113">
        <v>-2.5999999999999999E-2</v>
      </c>
      <c r="AK113">
        <v>1.04E-2</v>
      </c>
    </row>
    <row r="114" spans="1:37" x14ac:dyDescent="0.35">
      <c r="A114" s="61">
        <v>45827</v>
      </c>
      <c r="B114">
        <v>-9.4000000000000004E-3</v>
      </c>
      <c r="C114">
        <v>-7.9000000000000008E-3</v>
      </c>
      <c r="D114">
        <v>-7.1999999999999998E-3</v>
      </c>
      <c r="E114">
        <v>-1.95E-2</v>
      </c>
      <c r="F114">
        <v>-1.18E-2</v>
      </c>
      <c r="G114">
        <v>-2.5999999999999999E-2</v>
      </c>
      <c r="H114">
        <v>-3.39E-2</v>
      </c>
      <c r="I114">
        <v>5.7999999999999996E-3</v>
      </c>
      <c r="J114">
        <v>1.04E-2</v>
      </c>
      <c r="K114">
        <v>-0.03</v>
      </c>
      <c r="L114">
        <v>-8.0000000000000004E-4</v>
      </c>
      <c r="AI114">
        <v>-7.6E-3</v>
      </c>
      <c r="AJ114">
        <v>-1.3299999999999999E-2</v>
      </c>
      <c r="AK114">
        <v>3.0599999999999999E-2</v>
      </c>
    </row>
    <row r="115" spans="1:37" x14ac:dyDescent="0.35">
      <c r="A115" s="61">
        <v>45826</v>
      </c>
      <c r="B115">
        <v>-8.9999999999999993E-3</v>
      </c>
      <c r="C115">
        <v>-1.8200000000000001E-2</v>
      </c>
      <c r="D115">
        <v>-1.3599999999999999E-2</v>
      </c>
      <c r="E115">
        <v>-8.6999999999999994E-3</v>
      </c>
      <c r="F115">
        <v>-7.6E-3</v>
      </c>
      <c r="G115">
        <v>-1.3299999999999999E-2</v>
      </c>
      <c r="H115">
        <v>-6.9000000000000006E-2</v>
      </c>
      <c r="I115">
        <v>-1.01E-2</v>
      </c>
      <c r="J115">
        <v>3.0599999999999999E-2</v>
      </c>
      <c r="K115">
        <v>-5.7999999999999996E-3</v>
      </c>
      <c r="L115">
        <v>-1.6999999999999999E-3</v>
      </c>
      <c r="AI115">
        <v>3.2000000000000002E-3</v>
      </c>
      <c r="AJ115">
        <v>-8.3999999999999995E-3</v>
      </c>
      <c r="AK115">
        <v>-5.4999999999999997E-3</v>
      </c>
    </row>
    <row r="116" spans="1:37" x14ac:dyDescent="0.35">
      <c r="A116" s="61">
        <v>45825</v>
      </c>
      <c r="B116">
        <v>-1.1599999999999999E-2</v>
      </c>
      <c r="C116">
        <v>5.4000000000000003E-3</v>
      </c>
      <c r="D116">
        <v>-2.0999999999999999E-3</v>
      </c>
      <c r="E116">
        <v>-6.1999999999999998E-3</v>
      </c>
      <c r="F116">
        <v>3.2000000000000002E-3</v>
      </c>
      <c r="G116">
        <v>-8.3999999999999995E-3</v>
      </c>
      <c r="H116">
        <v>-5.1900000000000002E-2</v>
      </c>
      <c r="I116">
        <v>4.4000000000000003E-3</v>
      </c>
      <c r="J116">
        <v>-5.4999999999999997E-3</v>
      </c>
      <c r="K116">
        <v>-5.0000000000000001E-4</v>
      </c>
      <c r="L116">
        <v>-3.7000000000000002E-3</v>
      </c>
      <c r="AI116">
        <v>-1E-3</v>
      </c>
      <c r="AJ116">
        <v>-1.3899999999999999E-2</v>
      </c>
      <c r="AK116">
        <v>1.44E-2</v>
      </c>
    </row>
    <row r="117" spans="1:37" x14ac:dyDescent="0.35">
      <c r="A117" s="61">
        <v>45824</v>
      </c>
      <c r="B117">
        <v>5.4999999999999997E-3</v>
      </c>
      <c r="C117">
        <v>1.47E-2</v>
      </c>
      <c r="D117">
        <v>1.2200000000000001E-2</v>
      </c>
      <c r="E117">
        <v>7.1999999999999998E-3</v>
      </c>
      <c r="F117">
        <v>-1E-3</v>
      </c>
      <c r="G117">
        <v>-1.3899999999999999E-2</v>
      </c>
      <c r="H117">
        <v>-2.5000000000000001E-3</v>
      </c>
      <c r="I117">
        <v>-2.01E-2</v>
      </c>
      <c r="J117">
        <v>1.44E-2</v>
      </c>
      <c r="K117">
        <v>2.5999999999999999E-3</v>
      </c>
      <c r="L117">
        <v>9.1999999999999998E-3</v>
      </c>
      <c r="AI117">
        <v>-7.7000000000000002E-3</v>
      </c>
      <c r="AJ117">
        <v>6.6E-3</v>
      </c>
      <c r="AK117">
        <v>1.0200000000000001E-2</v>
      </c>
    </row>
    <row r="118" spans="1:37" x14ac:dyDescent="0.35">
      <c r="A118" s="61">
        <v>45821</v>
      </c>
      <c r="B118">
        <v>-3.7000000000000002E-3</v>
      </c>
      <c r="C118">
        <v>3.3E-3</v>
      </c>
      <c r="D118">
        <v>-6.1000000000000004E-3</v>
      </c>
      <c r="E118">
        <v>-1.9E-3</v>
      </c>
      <c r="F118">
        <v>-7.7000000000000002E-3</v>
      </c>
      <c r="G118">
        <v>6.6E-3</v>
      </c>
      <c r="H118">
        <v>-5.7999999999999996E-3</v>
      </c>
      <c r="I118">
        <v>-2.7000000000000001E-3</v>
      </c>
      <c r="J118">
        <v>1.0200000000000001E-2</v>
      </c>
      <c r="K118">
        <v>3.0999999999999999E-3</v>
      </c>
      <c r="L118">
        <v>-6.7999999999999996E-3</v>
      </c>
      <c r="AI118">
        <v>0.01</v>
      </c>
      <c r="AJ118">
        <v>-3.39E-2</v>
      </c>
      <c r="AK118">
        <v>-4.19E-2</v>
      </c>
    </row>
    <row r="119" spans="1:37" x14ac:dyDescent="0.35">
      <c r="A119" s="61">
        <v>45820</v>
      </c>
      <c r="B119">
        <v>-1.3899999999999999E-2</v>
      </c>
      <c r="C119">
        <v>-1.09E-2</v>
      </c>
      <c r="D119">
        <v>-2.1899999999999999E-2</v>
      </c>
      <c r="E119">
        <v>1.6500000000000001E-2</v>
      </c>
      <c r="F119">
        <v>0.01</v>
      </c>
      <c r="G119">
        <v>-3.39E-2</v>
      </c>
      <c r="H119">
        <v>-6.3E-3</v>
      </c>
      <c r="I119">
        <v>1.0999999999999999E-2</v>
      </c>
      <c r="J119">
        <v>-4.19E-2</v>
      </c>
      <c r="K119">
        <v>-7.1000000000000004E-3</v>
      </c>
      <c r="L119">
        <v>-1.01E-2</v>
      </c>
      <c r="AI119">
        <v>-5.7000000000000002E-3</v>
      </c>
      <c r="AJ119">
        <v>-1.5100000000000001E-2</v>
      </c>
      <c r="AK119">
        <v>-1.5699999999999999E-2</v>
      </c>
    </row>
    <row r="120" spans="1:37" x14ac:dyDescent="0.35">
      <c r="A120" s="61">
        <v>45819</v>
      </c>
      <c r="B120">
        <v>-5.0000000000000001E-3</v>
      </c>
      <c r="C120">
        <v>2.5999999999999999E-3</v>
      </c>
      <c r="D120">
        <v>1.83E-2</v>
      </c>
      <c r="E120">
        <v>-4.7000000000000002E-3</v>
      </c>
      <c r="F120">
        <v>-5.7000000000000002E-3</v>
      </c>
      <c r="G120">
        <v>-1.5100000000000001E-2</v>
      </c>
      <c r="H120">
        <v>-2.53E-2</v>
      </c>
      <c r="I120">
        <v>1.0699999999999999E-2</v>
      </c>
      <c r="J120">
        <v>-1.5699999999999999E-2</v>
      </c>
      <c r="K120">
        <v>-1.2800000000000001E-2</v>
      </c>
      <c r="L120">
        <v>1.5E-3</v>
      </c>
      <c r="AI120">
        <v>-2E-3</v>
      </c>
      <c r="AJ120">
        <v>5.8500000000000003E-2</v>
      </c>
      <c r="AK120">
        <v>6.4299999999999996E-2</v>
      </c>
    </row>
    <row r="121" spans="1:37" x14ac:dyDescent="0.35">
      <c r="A121" s="61">
        <v>45818</v>
      </c>
      <c r="B121">
        <v>6.7000000000000002E-3</v>
      </c>
      <c r="C121">
        <v>1.2E-2</v>
      </c>
      <c r="D121">
        <v>-1.6E-2</v>
      </c>
      <c r="E121">
        <v>1.2699999999999999E-2</v>
      </c>
      <c r="F121">
        <v>-2E-3</v>
      </c>
      <c r="G121">
        <v>5.8500000000000003E-2</v>
      </c>
      <c r="H121">
        <v>1.72E-2</v>
      </c>
      <c r="I121">
        <v>5.0000000000000001E-3</v>
      </c>
      <c r="J121">
        <v>6.4299999999999996E-2</v>
      </c>
      <c r="K121">
        <v>-5.4999999999999997E-3</v>
      </c>
      <c r="L121">
        <v>0</v>
      </c>
      <c r="AI121">
        <v>4.8899999999999999E-2</v>
      </c>
      <c r="AJ121">
        <v>1.41E-2</v>
      </c>
      <c r="AK121">
        <v>1.52E-2</v>
      </c>
    </row>
    <row r="122" spans="1:37" x14ac:dyDescent="0.35">
      <c r="A122" s="61">
        <v>45817</v>
      </c>
      <c r="B122">
        <v>-8.0000000000000004E-4</v>
      </c>
      <c r="C122">
        <v>1.11E-2</v>
      </c>
      <c r="D122">
        <v>3.2000000000000002E-3</v>
      </c>
      <c r="E122">
        <v>8.3999999999999995E-3</v>
      </c>
      <c r="F122">
        <v>4.8899999999999999E-2</v>
      </c>
      <c r="G122">
        <v>1.41E-2</v>
      </c>
      <c r="H122">
        <v>4.53E-2</v>
      </c>
      <c r="I122">
        <v>5.7999999999999996E-3</v>
      </c>
      <c r="J122">
        <v>1.52E-2</v>
      </c>
      <c r="K122">
        <v>1.84E-2</v>
      </c>
      <c r="L122">
        <v>4.0000000000000001E-3</v>
      </c>
      <c r="AI122">
        <v>1.41E-2</v>
      </c>
      <c r="AJ122">
        <v>1.3899999999999999E-2</v>
      </c>
      <c r="AK122">
        <v>-1.49E-2</v>
      </c>
    </row>
    <row r="123" spans="1:37" x14ac:dyDescent="0.35">
      <c r="A123" s="61">
        <v>45814</v>
      </c>
      <c r="B123">
        <v>6.6E-3</v>
      </c>
      <c r="C123">
        <v>3.8999999999999998E-3</v>
      </c>
      <c r="D123">
        <v>3.3999999999999998E-3</v>
      </c>
      <c r="E123">
        <v>4.0000000000000001E-3</v>
      </c>
      <c r="F123">
        <v>1.41E-2</v>
      </c>
      <c r="G123">
        <v>1.3899999999999999E-2</v>
      </c>
      <c r="H123">
        <v>2.1700000000000001E-2</v>
      </c>
      <c r="I123">
        <v>-1.0500000000000001E-2</v>
      </c>
      <c r="J123">
        <v>-1.49E-2</v>
      </c>
      <c r="K123">
        <v>0</v>
      </c>
      <c r="L123">
        <v>1.0200000000000001E-2</v>
      </c>
      <c r="AI123">
        <v>3.2000000000000002E-3</v>
      </c>
      <c r="AJ123">
        <v>4.5999999999999999E-3</v>
      </c>
      <c r="AK123">
        <v>8.9999999999999998E-4</v>
      </c>
    </row>
    <row r="124" spans="1:37" x14ac:dyDescent="0.35">
      <c r="A124" s="61">
        <v>45813</v>
      </c>
      <c r="B124">
        <v>1.6000000000000001E-3</v>
      </c>
      <c r="C124">
        <v>-2.8999999999999998E-3</v>
      </c>
      <c r="D124">
        <v>3.5000000000000001E-3</v>
      </c>
      <c r="E124">
        <v>1.5E-3</v>
      </c>
      <c r="F124">
        <v>3.2000000000000002E-3</v>
      </c>
      <c r="G124">
        <v>4.5999999999999999E-3</v>
      </c>
      <c r="H124">
        <v>5.04E-2</v>
      </c>
      <c r="I124">
        <v>2.0799999999999999E-2</v>
      </c>
      <c r="J124">
        <v>8.9999999999999998E-4</v>
      </c>
      <c r="K124">
        <v>1.8100000000000002E-2</v>
      </c>
      <c r="L124">
        <v>5.3E-3</v>
      </c>
      <c r="AI124">
        <v>3.8999999999999998E-3</v>
      </c>
      <c r="AJ124">
        <v>1E-3</v>
      </c>
      <c r="AK124">
        <v>2.5100000000000001E-2</v>
      </c>
    </row>
    <row r="125" spans="1:37" x14ac:dyDescent="0.35">
      <c r="A125" s="61">
        <v>45812</v>
      </c>
      <c r="B125">
        <v>2.5999999999999999E-3</v>
      </c>
      <c r="C125">
        <v>-7.1000000000000004E-3</v>
      </c>
      <c r="D125">
        <v>-4.0000000000000002E-4</v>
      </c>
      <c r="E125">
        <v>6.9999999999999999E-4</v>
      </c>
      <c r="F125">
        <v>3.8999999999999998E-3</v>
      </c>
      <c r="G125">
        <v>1E-3</v>
      </c>
      <c r="H125">
        <v>-1.6000000000000001E-3</v>
      </c>
      <c r="I125">
        <v>3.9699999999999999E-2</v>
      </c>
      <c r="J125">
        <v>2.5100000000000001E-2</v>
      </c>
      <c r="K125">
        <v>1.17E-2</v>
      </c>
      <c r="L125">
        <v>3.2000000000000002E-3</v>
      </c>
      <c r="AI125">
        <v>-1.6400000000000001E-2</v>
      </c>
      <c r="AJ125">
        <v>-1.89E-2</v>
      </c>
      <c r="AK125">
        <v>1E-4</v>
      </c>
    </row>
    <row r="126" spans="1:37" x14ac:dyDescent="0.35">
      <c r="A126" s="61">
        <v>45811</v>
      </c>
      <c r="B126">
        <v>-6.1999999999999998E-3</v>
      </c>
      <c r="C126">
        <v>-1.29E-2</v>
      </c>
      <c r="D126">
        <v>-9.1000000000000004E-3</v>
      </c>
      <c r="E126">
        <v>2.3E-3</v>
      </c>
      <c r="F126">
        <v>-1.6400000000000001E-2</v>
      </c>
      <c r="G126">
        <v>-1.89E-2</v>
      </c>
      <c r="H126">
        <v>3.44E-2</v>
      </c>
      <c r="I126">
        <v>0.02</v>
      </c>
      <c r="J126">
        <v>1E-4</v>
      </c>
      <c r="K126">
        <v>-7.7999999999999996E-3</v>
      </c>
      <c r="L126">
        <v>-7.0000000000000001E-3</v>
      </c>
      <c r="AI126">
        <v>3.0000000000000001E-3</v>
      </c>
      <c r="AJ126">
        <v>2.0799999999999999E-2</v>
      </c>
      <c r="AK126">
        <v>3.5000000000000003E-2</v>
      </c>
    </row>
    <row r="127" spans="1:37" x14ac:dyDescent="0.35">
      <c r="A127" s="61">
        <v>45810</v>
      </c>
      <c r="B127">
        <v>4.1999999999999997E-3</v>
      </c>
      <c r="C127">
        <v>-3.8999999999999998E-3</v>
      </c>
      <c r="D127">
        <v>8.3000000000000001E-3</v>
      </c>
      <c r="E127">
        <v>-1.4800000000000001E-2</v>
      </c>
      <c r="F127">
        <v>3.0000000000000001E-3</v>
      </c>
      <c r="G127">
        <v>2.0799999999999999E-2</v>
      </c>
      <c r="H127">
        <v>-1.0999999999999999E-2</v>
      </c>
      <c r="I127">
        <v>-5.0000000000000001E-3</v>
      </c>
      <c r="J127">
        <v>3.5000000000000003E-2</v>
      </c>
      <c r="K127">
        <v>0</v>
      </c>
      <c r="L127">
        <v>-1.4E-3</v>
      </c>
      <c r="AI127">
        <v>-1.24E-2</v>
      </c>
      <c r="AJ127">
        <v>-1.4800000000000001E-2</v>
      </c>
      <c r="AK127">
        <v>-1.38E-2</v>
      </c>
    </row>
    <row r="128" spans="1:37" x14ac:dyDescent="0.35">
      <c r="A128" s="61">
        <v>45807</v>
      </c>
      <c r="B128">
        <v>-1.5900000000000001E-2</v>
      </c>
      <c r="C128">
        <v>-9.9000000000000008E-3</v>
      </c>
      <c r="D128">
        <v>1.06E-2</v>
      </c>
      <c r="E128">
        <v>4.3E-3</v>
      </c>
      <c r="F128">
        <v>-1.24E-2</v>
      </c>
      <c r="G128">
        <v>-1.4800000000000001E-2</v>
      </c>
      <c r="H128">
        <v>-1.41E-2</v>
      </c>
      <c r="I128">
        <v>5.5999999999999999E-3</v>
      </c>
      <c r="J128">
        <v>-1.38E-2</v>
      </c>
      <c r="K128">
        <v>-7.1999999999999998E-3</v>
      </c>
      <c r="L128">
        <v>-3.3E-3</v>
      </c>
      <c r="AI128">
        <v>-6.7000000000000002E-3</v>
      </c>
      <c r="AJ128">
        <v>2.3E-3</v>
      </c>
      <c r="AK128">
        <v>-8.5000000000000006E-3</v>
      </c>
    </row>
    <row r="129" spans="1:37" x14ac:dyDescent="0.35">
      <c r="A129" s="61">
        <v>45806</v>
      </c>
      <c r="B129">
        <v>6.6E-3</v>
      </c>
      <c r="C129">
        <v>1E-4</v>
      </c>
      <c r="D129">
        <v>2.5999999999999999E-3</v>
      </c>
      <c r="E129">
        <v>-1.5E-3</v>
      </c>
      <c r="F129">
        <v>-6.7000000000000002E-3</v>
      </c>
      <c r="G129">
        <v>2.3E-3</v>
      </c>
      <c r="H129">
        <v>2.6800000000000001E-2</v>
      </c>
      <c r="I129">
        <v>5.1999999999999998E-3</v>
      </c>
      <c r="J129">
        <v>-8.5000000000000006E-3</v>
      </c>
      <c r="K129">
        <v>-1E-3</v>
      </c>
      <c r="L129">
        <v>3.3E-3</v>
      </c>
      <c r="AI129">
        <v>-1E-4</v>
      </c>
      <c r="AJ129">
        <v>-3.3E-3</v>
      </c>
      <c r="AK129">
        <v>4.7000000000000002E-3</v>
      </c>
    </row>
    <row r="130" spans="1:37" x14ac:dyDescent="0.35">
      <c r="A130" s="61">
        <v>45805</v>
      </c>
      <c r="B130">
        <v>-1.7000000000000001E-2</v>
      </c>
      <c r="C130">
        <v>-2.9999999999999997E-4</v>
      </c>
      <c r="D130">
        <v>8.1199999999999994E-2</v>
      </c>
      <c r="E130">
        <v>-3.0999999999999999E-3</v>
      </c>
      <c r="F130">
        <v>-1E-4</v>
      </c>
      <c r="G130">
        <v>-3.3E-3</v>
      </c>
      <c r="H130">
        <v>2.3999999999999998E-3</v>
      </c>
      <c r="I130">
        <v>-5.0000000000000001E-4</v>
      </c>
      <c r="J130">
        <v>4.7000000000000002E-3</v>
      </c>
      <c r="K130">
        <v>1.2999999999999999E-3</v>
      </c>
      <c r="L130">
        <v>-3.0000000000000001E-3</v>
      </c>
      <c r="AI130">
        <v>-3.2000000000000002E-3</v>
      </c>
      <c r="AJ130">
        <v>-1.0800000000000001E-2</v>
      </c>
      <c r="AK130">
        <v>5.7000000000000002E-3</v>
      </c>
    </row>
    <row r="131" spans="1:37" x14ac:dyDescent="0.35">
      <c r="A131" s="61">
        <v>45804</v>
      </c>
      <c r="B131">
        <v>2.8E-3</v>
      </c>
      <c r="C131">
        <v>-1.09E-2</v>
      </c>
      <c r="D131">
        <v>1.4E-3</v>
      </c>
      <c r="E131">
        <v>-3.7000000000000002E-3</v>
      </c>
      <c r="F131">
        <v>-3.2000000000000002E-3</v>
      </c>
      <c r="G131">
        <v>-1.0800000000000001E-2</v>
      </c>
      <c r="H131">
        <v>1.1999999999999999E-3</v>
      </c>
      <c r="I131">
        <v>-1.14E-2</v>
      </c>
      <c r="J131">
        <v>5.7000000000000002E-3</v>
      </c>
      <c r="K131">
        <v>-1.6999999999999999E-3</v>
      </c>
      <c r="L131">
        <v>-7.0000000000000001E-3</v>
      </c>
      <c r="AI131">
        <v>3.8E-3</v>
      </c>
      <c r="AJ131">
        <v>9.7999999999999997E-3</v>
      </c>
      <c r="AK131">
        <v>9.0700000000000003E-2</v>
      </c>
    </row>
    <row r="132" spans="1:37" x14ac:dyDescent="0.35">
      <c r="A132" s="61">
        <v>45803</v>
      </c>
      <c r="B132">
        <v>1.6400000000000001E-2</v>
      </c>
      <c r="C132">
        <v>6.4999999999999997E-3</v>
      </c>
      <c r="D132">
        <v>1.14E-2</v>
      </c>
      <c r="E132">
        <v>4.0000000000000001E-3</v>
      </c>
      <c r="F132">
        <v>3.8E-3</v>
      </c>
      <c r="G132">
        <v>9.7999999999999997E-3</v>
      </c>
      <c r="H132">
        <v>8.6999999999999994E-3</v>
      </c>
      <c r="I132">
        <v>4.3400000000000001E-2</v>
      </c>
      <c r="J132">
        <v>9.0700000000000003E-2</v>
      </c>
      <c r="K132">
        <v>9.5999999999999992E-3</v>
      </c>
      <c r="L132">
        <v>6.0000000000000001E-3</v>
      </c>
      <c r="AI132">
        <v>1.4999999999999999E-2</v>
      </c>
      <c r="AJ132">
        <v>-8.9999999999999998E-4</v>
      </c>
      <c r="AK132">
        <v>2.07E-2</v>
      </c>
    </row>
    <row r="133" spans="1:37" x14ac:dyDescent="0.35">
      <c r="A133" s="61">
        <v>45800</v>
      </c>
      <c r="B133">
        <v>2.23E-2</v>
      </c>
      <c r="C133">
        <v>1.0800000000000001E-2</v>
      </c>
      <c r="D133">
        <v>1.72E-2</v>
      </c>
      <c r="E133">
        <v>-1.1599999999999999E-2</v>
      </c>
      <c r="F133">
        <v>1.4999999999999999E-2</v>
      </c>
      <c r="G133">
        <v>-8.9999999999999998E-4</v>
      </c>
      <c r="H133">
        <v>1.0500000000000001E-2</v>
      </c>
      <c r="I133">
        <v>6.1999999999999998E-3</v>
      </c>
      <c r="J133">
        <v>2.07E-2</v>
      </c>
      <c r="K133">
        <v>4.3E-3</v>
      </c>
      <c r="L133">
        <v>9.9000000000000008E-3</v>
      </c>
      <c r="AI133">
        <v>-2.92E-2</v>
      </c>
      <c r="AJ133">
        <v>4.4000000000000003E-3</v>
      </c>
      <c r="AK133">
        <v>-1.24E-2</v>
      </c>
    </row>
    <row r="134" spans="1:37" x14ac:dyDescent="0.35">
      <c r="A134" s="61">
        <v>45799</v>
      </c>
      <c r="B134">
        <v>-1.29E-2</v>
      </c>
      <c r="C134">
        <v>-1.38E-2</v>
      </c>
      <c r="D134">
        <v>-9.4999999999999998E-3</v>
      </c>
      <c r="E134">
        <v>-2.3400000000000001E-2</v>
      </c>
      <c r="F134">
        <v>-2.92E-2</v>
      </c>
      <c r="G134">
        <v>4.4000000000000003E-3</v>
      </c>
      <c r="H134">
        <v>8.0000000000000004E-4</v>
      </c>
      <c r="I134">
        <v>9.4000000000000004E-3</v>
      </c>
      <c r="J134">
        <v>-1.24E-2</v>
      </c>
      <c r="K134">
        <v>1.6000000000000001E-3</v>
      </c>
      <c r="L134">
        <v>-8.2000000000000007E-3</v>
      </c>
      <c r="AI134">
        <v>1.4200000000000001E-2</v>
      </c>
      <c r="AJ134">
        <v>-8.8999999999999999E-3</v>
      </c>
      <c r="AK134">
        <v>7.9000000000000008E-3</v>
      </c>
    </row>
    <row r="135" spans="1:37" x14ac:dyDescent="0.35">
      <c r="A135" s="61">
        <v>45798</v>
      </c>
      <c r="B135">
        <v>1.4500000000000001E-2</v>
      </c>
      <c r="C135">
        <v>7.9000000000000008E-3</v>
      </c>
      <c r="D135">
        <v>3.5999999999999999E-3</v>
      </c>
      <c r="E135">
        <v>1.47E-2</v>
      </c>
      <c r="F135">
        <v>1.4200000000000001E-2</v>
      </c>
      <c r="G135">
        <v>-8.8999999999999999E-3</v>
      </c>
      <c r="H135">
        <v>1.55E-2</v>
      </c>
      <c r="I135">
        <v>2E-3</v>
      </c>
      <c r="J135">
        <v>7.9000000000000008E-3</v>
      </c>
      <c r="K135">
        <v>1.8599999999999998E-2</v>
      </c>
      <c r="L135">
        <v>5.1999999999999998E-3</v>
      </c>
      <c r="AI135">
        <v>-5.8999999999999999E-3</v>
      </c>
      <c r="AJ135">
        <v>-1.0800000000000001E-2</v>
      </c>
      <c r="AK135">
        <v>-2.8000000000000001E-2</v>
      </c>
    </row>
    <row r="136" spans="1:37" x14ac:dyDescent="0.35">
      <c r="A136" s="61">
        <v>45797</v>
      </c>
      <c r="B136">
        <v>-2.0500000000000001E-2</v>
      </c>
      <c r="C136">
        <v>-5.7999999999999996E-3</v>
      </c>
      <c r="D136">
        <v>-5.1000000000000004E-3</v>
      </c>
      <c r="E136">
        <v>-1.8599999999999998E-2</v>
      </c>
      <c r="F136">
        <v>-5.8999999999999999E-3</v>
      </c>
      <c r="G136">
        <v>-1.0800000000000001E-2</v>
      </c>
      <c r="H136">
        <v>-2.8799999999999999E-2</v>
      </c>
      <c r="I136">
        <v>-3.0999999999999999E-3</v>
      </c>
      <c r="J136">
        <v>-2.8000000000000001E-2</v>
      </c>
      <c r="K136">
        <v>-5.5999999999999999E-3</v>
      </c>
      <c r="L136">
        <v>-1.0500000000000001E-2</v>
      </c>
      <c r="AI136">
        <v>2.1000000000000001E-2</v>
      </c>
      <c r="AJ136">
        <v>-5.7000000000000002E-3</v>
      </c>
      <c r="AK136">
        <v>2.7699999999999999E-2</v>
      </c>
    </row>
    <row r="137" spans="1:37" x14ac:dyDescent="0.35">
      <c r="A137" s="61">
        <v>45796</v>
      </c>
      <c r="B137">
        <v>-4.0000000000000002E-4</v>
      </c>
      <c r="C137">
        <v>-1.1900000000000001E-2</v>
      </c>
      <c r="D137">
        <v>-2.3E-3</v>
      </c>
      <c r="E137">
        <v>1.0999999999999999E-2</v>
      </c>
      <c r="F137">
        <v>2.1000000000000001E-2</v>
      </c>
      <c r="G137">
        <v>-5.7000000000000002E-3</v>
      </c>
      <c r="H137">
        <v>1.3299999999999999E-2</v>
      </c>
      <c r="I137">
        <v>5.1000000000000004E-3</v>
      </c>
      <c r="J137">
        <v>2.7699999999999999E-2</v>
      </c>
      <c r="K137">
        <v>6.8999999999999999E-3</v>
      </c>
      <c r="L137">
        <v>-3.0000000000000001E-3</v>
      </c>
      <c r="AI137">
        <v>1.0699999999999999E-2</v>
      </c>
      <c r="AJ137">
        <v>4.1200000000000001E-2</v>
      </c>
      <c r="AK137">
        <v>-3.1099999999999999E-2</v>
      </c>
    </row>
    <row r="138" spans="1:37" x14ac:dyDescent="0.35">
      <c r="A138" s="61">
        <v>45793</v>
      </c>
      <c r="B138">
        <v>4.4999999999999997E-3</v>
      </c>
      <c r="C138">
        <v>-5.1999999999999998E-3</v>
      </c>
      <c r="D138">
        <v>1.9900000000000001E-2</v>
      </c>
      <c r="E138">
        <v>5.9999999999999995E-4</v>
      </c>
      <c r="F138">
        <v>1.0699999999999999E-2</v>
      </c>
      <c r="G138">
        <v>4.1200000000000001E-2</v>
      </c>
      <c r="H138">
        <v>3.5000000000000001E-3</v>
      </c>
      <c r="I138">
        <v>1.41E-2</v>
      </c>
      <c r="J138">
        <v>-3.1099999999999999E-2</v>
      </c>
      <c r="K138">
        <v>1.06E-2</v>
      </c>
      <c r="L138">
        <v>-1.6999999999999999E-3</v>
      </c>
      <c r="AI138">
        <v>2.01E-2</v>
      </c>
      <c r="AJ138">
        <v>6.1000000000000004E-3</v>
      </c>
      <c r="AK138">
        <v>7.4300000000000005E-2</v>
      </c>
    </row>
    <row r="139" spans="1:37" x14ac:dyDescent="0.35">
      <c r="A139" s="61">
        <v>45792</v>
      </c>
      <c r="B139">
        <v>1.17E-2</v>
      </c>
      <c r="C139">
        <v>8.8000000000000005E-3</v>
      </c>
      <c r="D139">
        <v>2.1999999999999999E-2</v>
      </c>
      <c r="E139">
        <v>6.1999999999999998E-3</v>
      </c>
      <c r="F139">
        <v>2.01E-2</v>
      </c>
      <c r="G139">
        <v>6.1000000000000004E-3</v>
      </c>
      <c r="H139">
        <v>4.1000000000000003E-3</v>
      </c>
      <c r="I139">
        <v>-2E-3</v>
      </c>
      <c r="J139">
        <v>7.4300000000000005E-2</v>
      </c>
      <c r="K139">
        <v>7.0000000000000001E-3</v>
      </c>
      <c r="L139">
        <v>1.6E-2</v>
      </c>
      <c r="AI139">
        <v>1.78E-2</v>
      </c>
      <c r="AJ139">
        <v>1.9E-3</v>
      </c>
      <c r="AK139">
        <v>0.1115</v>
      </c>
    </row>
    <row r="140" spans="1:37" x14ac:dyDescent="0.35">
      <c r="A140" s="61">
        <v>45791</v>
      </c>
      <c r="B140">
        <v>1E-4</v>
      </c>
      <c r="C140">
        <v>9.5999999999999992E-3</v>
      </c>
      <c r="D140">
        <v>-5.1000000000000004E-3</v>
      </c>
      <c r="E140">
        <v>2.8E-3</v>
      </c>
      <c r="F140">
        <v>1.78E-2</v>
      </c>
      <c r="G140">
        <v>1.9E-3</v>
      </c>
      <c r="H140">
        <v>2.3400000000000001E-2</v>
      </c>
      <c r="I140">
        <v>1.67E-2</v>
      </c>
      <c r="J140">
        <v>0.1115</v>
      </c>
      <c r="K140">
        <v>2.46E-2</v>
      </c>
      <c r="L140">
        <v>3.5999999999999999E-3</v>
      </c>
      <c r="AI140">
        <v>7.1999999999999998E-3</v>
      </c>
      <c r="AJ140">
        <v>-1.43E-2</v>
      </c>
      <c r="AK140">
        <v>3.9800000000000002E-2</v>
      </c>
    </row>
    <row r="141" spans="1:37" x14ac:dyDescent="0.35">
      <c r="A141" s="61">
        <v>45790</v>
      </c>
      <c r="B141">
        <v>-5.7000000000000002E-3</v>
      </c>
      <c r="C141">
        <v>-2.9100000000000001E-2</v>
      </c>
      <c r="D141">
        <v>1.34E-2</v>
      </c>
      <c r="E141">
        <v>-5.0000000000000001E-4</v>
      </c>
      <c r="F141">
        <v>7.1999999999999998E-3</v>
      </c>
      <c r="G141">
        <v>-1.43E-2</v>
      </c>
      <c r="H141">
        <v>-1.3899999999999999E-2</v>
      </c>
      <c r="I141">
        <v>2.01E-2</v>
      </c>
      <c r="J141">
        <v>3.9800000000000002E-2</v>
      </c>
      <c r="K141">
        <v>-1.2999999999999999E-3</v>
      </c>
      <c r="L141">
        <v>-1.3899999999999999E-2</v>
      </c>
      <c r="AI141">
        <v>1.26E-2</v>
      </c>
      <c r="AJ141">
        <v>6.7500000000000004E-2</v>
      </c>
      <c r="AK141">
        <v>3.7400000000000003E-2</v>
      </c>
    </row>
    <row r="142" spans="1:37" x14ac:dyDescent="0.35">
      <c r="A142" s="61">
        <v>45789</v>
      </c>
      <c r="B142">
        <v>2.5100000000000001E-2</v>
      </c>
      <c r="C142">
        <v>5.2400000000000002E-2</v>
      </c>
      <c r="D142">
        <v>3.6200000000000003E-2</v>
      </c>
      <c r="E142">
        <v>3.0700000000000002E-2</v>
      </c>
      <c r="F142">
        <v>1.26E-2</v>
      </c>
      <c r="G142">
        <v>6.7500000000000004E-2</v>
      </c>
      <c r="H142">
        <v>6.5100000000000005E-2</v>
      </c>
      <c r="I142">
        <v>1.8E-3</v>
      </c>
      <c r="J142">
        <v>3.7400000000000003E-2</v>
      </c>
      <c r="K142">
        <v>3.4000000000000002E-2</v>
      </c>
      <c r="L142">
        <v>3.8199999999999998E-2</v>
      </c>
      <c r="AI142">
        <v>5.9999999999999995E-4</v>
      </c>
      <c r="AJ142">
        <v>-1.5800000000000002E-2</v>
      </c>
      <c r="AK142">
        <v>-2.9999999999999997E-4</v>
      </c>
    </row>
    <row r="143" spans="1:37" x14ac:dyDescent="0.35">
      <c r="A143" s="61">
        <v>45786</v>
      </c>
      <c r="B143">
        <v>-6.4999999999999997E-3</v>
      </c>
      <c r="C143">
        <v>-2.5000000000000001E-3</v>
      </c>
      <c r="D143">
        <v>6.4999999999999997E-3</v>
      </c>
      <c r="E143">
        <v>-1.4E-2</v>
      </c>
      <c r="F143">
        <v>5.9999999999999995E-4</v>
      </c>
      <c r="G143">
        <v>-1.5800000000000002E-2</v>
      </c>
      <c r="H143">
        <v>-2.3999999999999998E-3</v>
      </c>
      <c r="I143">
        <v>5.1999999999999998E-3</v>
      </c>
      <c r="J143">
        <v>-2.9999999999999997E-4</v>
      </c>
      <c r="K143">
        <v>5.4999999999999997E-3</v>
      </c>
      <c r="L143">
        <v>-1.0999999999999999E-2</v>
      </c>
      <c r="AI143">
        <v>-2.3900000000000001E-2</v>
      </c>
      <c r="AJ143">
        <v>-2.2100000000000002E-2</v>
      </c>
      <c r="AK143">
        <v>1.4E-3</v>
      </c>
    </row>
    <row r="144" spans="1:37" x14ac:dyDescent="0.35">
      <c r="A144" s="61">
        <v>45785</v>
      </c>
      <c r="B144">
        <v>1E-3</v>
      </c>
      <c r="C144">
        <v>1.1000000000000001E-3</v>
      </c>
      <c r="D144">
        <v>-5.1999999999999998E-3</v>
      </c>
      <c r="E144">
        <v>-3.2000000000000001E-2</v>
      </c>
      <c r="F144">
        <v>-2.3900000000000001E-2</v>
      </c>
      <c r="G144">
        <v>-2.2100000000000002E-2</v>
      </c>
      <c r="H144">
        <v>-3.1600000000000003E-2</v>
      </c>
      <c r="I144">
        <v>-6.0299999999999999E-2</v>
      </c>
      <c r="J144">
        <v>1.4E-3</v>
      </c>
      <c r="K144">
        <v>-2.3400000000000001E-2</v>
      </c>
      <c r="L144">
        <v>-5.7999999999999996E-3</v>
      </c>
      <c r="AI144">
        <v>0.02</v>
      </c>
      <c r="AJ144">
        <v>-7.6E-3</v>
      </c>
      <c r="AK144">
        <v>4.1700000000000001E-2</v>
      </c>
    </row>
    <row r="145" spans="1:37" x14ac:dyDescent="0.35">
      <c r="A145" s="61">
        <v>45784</v>
      </c>
      <c r="B145">
        <v>-7.7000000000000002E-3</v>
      </c>
      <c r="C145">
        <v>-4.3E-3</v>
      </c>
      <c r="D145">
        <v>2E-3</v>
      </c>
      <c r="E145">
        <v>6.4000000000000003E-3</v>
      </c>
      <c r="F145">
        <v>0.02</v>
      </c>
      <c r="G145">
        <v>-7.6E-3</v>
      </c>
      <c r="H145">
        <v>2.24E-2</v>
      </c>
      <c r="I145">
        <v>-8.2000000000000007E-3</v>
      </c>
      <c r="J145">
        <v>4.1700000000000001E-2</v>
      </c>
      <c r="K145">
        <v>-1.2999999999999999E-3</v>
      </c>
      <c r="L145">
        <v>1.4E-3</v>
      </c>
      <c r="AI145">
        <v>7.1999999999999998E-3</v>
      </c>
      <c r="AJ145">
        <v>-3.6700000000000003E-2</v>
      </c>
      <c r="AK145">
        <v>-5.6000000000000001E-2</v>
      </c>
    </row>
    <row r="146" spans="1:37" x14ac:dyDescent="0.35">
      <c r="A146" s="61">
        <v>45783</v>
      </c>
      <c r="B146">
        <v>1.2200000000000001E-2</v>
      </c>
      <c r="C146">
        <v>1.6999999999999999E-3</v>
      </c>
      <c r="D146">
        <v>-4.0500000000000001E-2</v>
      </c>
      <c r="E146">
        <v>-4.5999999999999999E-3</v>
      </c>
      <c r="F146">
        <v>7.1999999999999998E-3</v>
      </c>
      <c r="G146">
        <v>-3.6700000000000003E-2</v>
      </c>
      <c r="H146">
        <v>-3.4599999999999999E-2</v>
      </c>
      <c r="I146">
        <v>-2.9100000000000001E-2</v>
      </c>
      <c r="J146">
        <v>-5.6000000000000001E-2</v>
      </c>
      <c r="K146">
        <v>-2.86E-2</v>
      </c>
      <c r="L146">
        <v>-3.3E-3</v>
      </c>
      <c r="AI146">
        <v>5.1999999999999998E-3</v>
      </c>
      <c r="AJ146">
        <v>5.9499999999999997E-2</v>
      </c>
      <c r="AK146">
        <v>0.1057</v>
      </c>
    </row>
    <row r="147" spans="1:37" x14ac:dyDescent="0.35">
      <c r="A147" s="61">
        <v>45782</v>
      </c>
      <c r="B147">
        <v>-4.1000000000000003E-3</v>
      </c>
      <c r="C147">
        <v>2.8E-3</v>
      </c>
      <c r="D147">
        <v>3.1800000000000002E-2</v>
      </c>
      <c r="E147">
        <v>9.1999999999999998E-3</v>
      </c>
      <c r="F147">
        <v>5.1999999999999998E-3</v>
      </c>
      <c r="G147">
        <v>5.9499999999999997E-2</v>
      </c>
      <c r="H147">
        <v>-1E-3</v>
      </c>
      <c r="I147">
        <v>1.2699999999999999E-2</v>
      </c>
      <c r="J147">
        <v>0.1057</v>
      </c>
      <c r="K147">
        <v>2.0500000000000001E-2</v>
      </c>
      <c r="L147">
        <v>4.7000000000000002E-3</v>
      </c>
      <c r="AI147">
        <v>6.7999999999999996E-3</v>
      </c>
      <c r="AJ147">
        <v>-1.29E-2</v>
      </c>
      <c r="AK147">
        <v>-1.3100000000000001E-2</v>
      </c>
    </row>
    <row r="148" spans="1:37" x14ac:dyDescent="0.35">
      <c r="A148" s="61">
        <v>45779</v>
      </c>
      <c r="B148">
        <v>-2.1100000000000001E-2</v>
      </c>
      <c r="C148">
        <v>-2.5999999999999999E-3</v>
      </c>
      <c r="D148">
        <v>-4.4000000000000003E-3</v>
      </c>
      <c r="E148">
        <v>-2.01E-2</v>
      </c>
      <c r="F148">
        <v>6.7999999999999996E-3</v>
      </c>
      <c r="G148">
        <v>-1.29E-2</v>
      </c>
      <c r="H148">
        <v>-2.3900000000000001E-2</v>
      </c>
      <c r="I148">
        <v>-4.0000000000000002E-4</v>
      </c>
      <c r="J148">
        <v>-1.3100000000000001E-2</v>
      </c>
      <c r="K148">
        <v>-2.0199999999999999E-2</v>
      </c>
      <c r="L148">
        <v>5.0000000000000001E-4</v>
      </c>
      <c r="AI148">
        <v>1.8499999999999999E-2</v>
      </c>
      <c r="AJ148">
        <v>-3.0300000000000001E-2</v>
      </c>
      <c r="AK148">
        <v>-2.7699999999999999E-2</v>
      </c>
    </row>
    <row r="149" spans="1:37" x14ac:dyDescent="0.35">
      <c r="A149" s="61">
        <v>45777</v>
      </c>
      <c r="B149">
        <v>2.9999999999999997E-4</v>
      </c>
      <c r="C149">
        <v>-5.4000000000000003E-3</v>
      </c>
      <c r="D149">
        <v>-5.7999999999999996E-3</v>
      </c>
      <c r="E149">
        <v>-2.0000000000000001E-4</v>
      </c>
      <c r="F149">
        <v>1.8499999999999999E-2</v>
      </c>
      <c r="G149">
        <v>-3.0300000000000001E-2</v>
      </c>
      <c r="H149">
        <v>-1.4E-2</v>
      </c>
      <c r="I149">
        <v>-1.7100000000000001E-2</v>
      </c>
      <c r="J149">
        <v>-2.7699999999999999E-2</v>
      </c>
      <c r="K149">
        <v>7.4999999999999997E-3</v>
      </c>
      <c r="L149">
        <v>-1E-4</v>
      </c>
      <c r="AI149">
        <v>9.1999999999999998E-3</v>
      </c>
      <c r="AJ149">
        <v>-7.4000000000000003E-3</v>
      </c>
      <c r="AK149">
        <v>-1.26E-2</v>
      </c>
    </row>
    <row r="150" spans="1:37" x14ac:dyDescent="0.35">
      <c r="A150" s="61">
        <v>45776</v>
      </c>
      <c r="B150">
        <v>-7.7000000000000002E-3</v>
      </c>
      <c r="C150">
        <v>8.3999999999999995E-3</v>
      </c>
      <c r="D150">
        <v>-4.1000000000000003E-3</v>
      </c>
      <c r="E150">
        <v>-3.7000000000000002E-3</v>
      </c>
      <c r="F150">
        <v>9.1999999999999998E-3</v>
      </c>
      <c r="G150">
        <v>-7.4000000000000003E-3</v>
      </c>
      <c r="H150">
        <v>-1.5599999999999999E-2</v>
      </c>
      <c r="I150">
        <v>-2.0999999999999999E-3</v>
      </c>
      <c r="J150">
        <v>-1.26E-2</v>
      </c>
      <c r="K150">
        <v>-1E-3</v>
      </c>
      <c r="L150">
        <v>2.9999999999999997E-4</v>
      </c>
      <c r="AI150">
        <v>-3.8E-3</v>
      </c>
      <c r="AJ150">
        <v>6.1999999999999998E-3</v>
      </c>
      <c r="AK150">
        <v>-2.0400000000000001E-2</v>
      </c>
    </row>
    <row r="151" spans="1:37" x14ac:dyDescent="0.35">
      <c r="A151" s="61">
        <v>45775</v>
      </c>
      <c r="B151">
        <v>-3.0999999999999999E-3</v>
      </c>
      <c r="C151">
        <v>-1.2999999999999999E-3</v>
      </c>
      <c r="D151">
        <v>1.5800000000000002E-2</v>
      </c>
      <c r="E151">
        <v>2.9700000000000001E-2</v>
      </c>
      <c r="F151">
        <v>-3.8E-3</v>
      </c>
      <c r="G151">
        <v>6.1999999999999998E-3</v>
      </c>
      <c r="H151">
        <v>1.6899999999999998E-2</v>
      </c>
      <c r="I151">
        <v>1.4200000000000001E-2</v>
      </c>
      <c r="J151">
        <v>-2.0400000000000001E-2</v>
      </c>
      <c r="K151">
        <v>7.3000000000000001E-3</v>
      </c>
      <c r="L151">
        <v>1.2E-2</v>
      </c>
      <c r="AI151">
        <v>-2.9899999999999999E-2</v>
      </c>
      <c r="AJ151">
        <v>-4.5999999999999999E-2</v>
      </c>
      <c r="AK151">
        <v>-4.2700000000000002E-2</v>
      </c>
    </row>
    <row r="152" spans="1:37" x14ac:dyDescent="0.35">
      <c r="A152" s="61">
        <v>45772</v>
      </c>
      <c r="B152">
        <v>-8.0999999999999996E-3</v>
      </c>
      <c r="C152">
        <v>1.3599999999999999E-2</v>
      </c>
      <c r="D152">
        <v>-2.93E-2</v>
      </c>
      <c r="E152">
        <v>-2.5899999999999999E-2</v>
      </c>
      <c r="F152">
        <v>-2.9899999999999999E-2</v>
      </c>
      <c r="G152">
        <v>-4.5999999999999999E-2</v>
      </c>
      <c r="H152">
        <v>-3.1199999999999999E-2</v>
      </c>
      <c r="I152">
        <v>-2.2700000000000001E-2</v>
      </c>
      <c r="J152">
        <v>-4.2700000000000002E-2</v>
      </c>
      <c r="K152">
        <v>-2.3900000000000001E-2</v>
      </c>
      <c r="L152">
        <v>-8.6E-3</v>
      </c>
      <c r="AI152">
        <v>-1.2999999999999999E-3</v>
      </c>
      <c r="AJ152">
        <v>-6.1000000000000004E-3</v>
      </c>
      <c r="AK152">
        <v>2.76E-2</v>
      </c>
    </row>
    <row r="153" spans="1:37" x14ac:dyDescent="0.35">
      <c r="A153" s="61">
        <v>45771</v>
      </c>
      <c r="B153">
        <v>-1E-4</v>
      </c>
      <c r="C153">
        <v>-3.3E-3</v>
      </c>
      <c r="D153">
        <v>-6.7999999999999996E-3</v>
      </c>
      <c r="E153">
        <v>-2.2000000000000001E-3</v>
      </c>
      <c r="F153">
        <v>-1.2999999999999999E-3</v>
      </c>
      <c r="G153">
        <v>-6.1000000000000004E-3</v>
      </c>
      <c r="H153">
        <v>2.29E-2</v>
      </c>
      <c r="I153">
        <v>2E-3</v>
      </c>
      <c r="J153">
        <v>2.76E-2</v>
      </c>
      <c r="K153">
        <v>1.4999999999999999E-2</v>
      </c>
      <c r="L153">
        <v>-3.3999999999999998E-3</v>
      </c>
      <c r="AI153">
        <v>1.04E-2</v>
      </c>
      <c r="AJ153">
        <v>1.06E-2</v>
      </c>
      <c r="AK153">
        <v>-1.7100000000000001E-2</v>
      </c>
    </row>
    <row r="154" spans="1:37" x14ac:dyDescent="0.35">
      <c r="A154" s="61">
        <v>45770</v>
      </c>
      <c r="B154">
        <v>1.0800000000000001E-2</v>
      </c>
      <c r="C154">
        <v>2.9700000000000001E-2</v>
      </c>
      <c r="D154">
        <v>-8.9999999999999998E-4</v>
      </c>
      <c r="E154">
        <v>2.6499999999999999E-2</v>
      </c>
      <c r="F154">
        <v>1.04E-2</v>
      </c>
      <c r="G154">
        <v>1.06E-2</v>
      </c>
      <c r="H154">
        <v>7.4000000000000003E-3</v>
      </c>
      <c r="I154">
        <v>-6.0000000000000001E-3</v>
      </c>
      <c r="J154">
        <v>-1.7100000000000001E-2</v>
      </c>
      <c r="K154">
        <v>-8.8999999999999999E-3</v>
      </c>
      <c r="L154">
        <v>6.7000000000000002E-3</v>
      </c>
      <c r="AI154">
        <v>8.0000000000000002E-3</v>
      </c>
      <c r="AJ154">
        <v>7.6E-3</v>
      </c>
      <c r="AK154">
        <v>1.8E-3</v>
      </c>
    </row>
    <row r="155" spans="1:37" x14ac:dyDescent="0.35">
      <c r="A155" s="61">
        <v>45769</v>
      </c>
      <c r="B155">
        <v>3.3E-3</v>
      </c>
      <c r="C155">
        <v>-2.2000000000000001E-3</v>
      </c>
      <c r="D155">
        <v>4.7999999999999996E-3</v>
      </c>
      <c r="E155">
        <v>-2.5000000000000001E-3</v>
      </c>
      <c r="F155">
        <v>8.0000000000000002E-3</v>
      </c>
      <c r="G155">
        <v>7.6E-3</v>
      </c>
      <c r="H155">
        <v>-1.4800000000000001E-2</v>
      </c>
      <c r="I155">
        <v>5.0000000000000001E-3</v>
      </c>
      <c r="J155">
        <v>1.8E-3</v>
      </c>
      <c r="K155">
        <v>1.5800000000000002E-2</v>
      </c>
      <c r="L155">
        <v>1.6999999999999999E-3</v>
      </c>
      <c r="AI155">
        <v>1.72E-2</v>
      </c>
      <c r="AJ155">
        <v>3.5200000000000002E-2</v>
      </c>
      <c r="AK155">
        <v>5.5999999999999999E-3</v>
      </c>
    </row>
    <row r="156" spans="1:37" x14ac:dyDescent="0.35">
      <c r="A156" s="61">
        <v>45768</v>
      </c>
      <c r="B156">
        <v>-7.1000000000000004E-3</v>
      </c>
      <c r="C156">
        <v>6.8999999999999999E-3</v>
      </c>
      <c r="D156">
        <v>1.78E-2</v>
      </c>
      <c r="E156">
        <v>-1E-4</v>
      </c>
      <c r="F156">
        <v>1.72E-2</v>
      </c>
      <c r="G156">
        <v>3.5200000000000002E-2</v>
      </c>
      <c r="H156">
        <v>2.9000000000000001E-2</v>
      </c>
      <c r="I156">
        <v>2.2499999999999999E-2</v>
      </c>
      <c r="J156">
        <v>5.5999999999999999E-3</v>
      </c>
      <c r="K156">
        <v>5.5999999999999999E-3</v>
      </c>
      <c r="L156">
        <v>1.15E-2</v>
      </c>
      <c r="AI156">
        <v>1.55E-2</v>
      </c>
      <c r="AJ156">
        <v>7.6E-3</v>
      </c>
      <c r="AK156">
        <v>7.3000000000000001E-3</v>
      </c>
    </row>
    <row r="157" spans="1:37" x14ac:dyDescent="0.35">
      <c r="A157" s="61">
        <v>45764</v>
      </c>
      <c r="B157">
        <v>1.4E-2</v>
      </c>
      <c r="C157">
        <v>7.7000000000000002E-3</v>
      </c>
      <c r="D157">
        <v>7.0000000000000001E-3</v>
      </c>
      <c r="E157">
        <v>0.01</v>
      </c>
      <c r="F157">
        <v>1.55E-2</v>
      </c>
      <c r="G157">
        <v>7.6E-3</v>
      </c>
      <c r="H157">
        <v>3.8999999999999998E-3</v>
      </c>
      <c r="I157">
        <v>7.9000000000000008E-3</v>
      </c>
      <c r="J157">
        <v>7.3000000000000001E-3</v>
      </c>
      <c r="K157">
        <v>-1.7999999999999999E-2</v>
      </c>
      <c r="L157">
        <v>1.77E-2</v>
      </c>
      <c r="AI157">
        <v>-1.06E-2</v>
      </c>
      <c r="AJ157">
        <v>6.1999999999999998E-3</v>
      </c>
      <c r="AK157">
        <v>-7.7000000000000002E-3</v>
      </c>
    </row>
    <row r="158" spans="1:37" x14ac:dyDescent="0.35">
      <c r="A158" s="61">
        <v>45763</v>
      </c>
      <c r="B158">
        <v>6.4999999999999997E-3</v>
      </c>
      <c r="C158">
        <v>7.9000000000000008E-3</v>
      </c>
      <c r="D158">
        <v>1.7000000000000001E-2</v>
      </c>
      <c r="E158">
        <v>2.9999999999999997E-4</v>
      </c>
      <c r="F158">
        <v>-1.06E-2</v>
      </c>
      <c r="G158">
        <v>6.1999999999999998E-3</v>
      </c>
      <c r="H158">
        <v>9.4000000000000004E-3</v>
      </c>
      <c r="I158">
        <v>8.8000000000000005E-3</v>
      </c>
      <c r="J158">
        <v>-7.7000000000000002E-3</v>
      </c>
      <c r="K158">
        <v>1.6999999999999999E-3</v>
      </c>
      <c r="L158">
        <v>4.7000000000000002E-3</v>
      </c>
      <c r="AI158">
        <v>1.4800000000000001E-2</v>
      </c>
      <c r="AJ158">
        <v>4.6199999999999998E-2</v>
      </c>
      <c r="AK158">
        <v>1.44E-2</v>
      </c>
    </row>
    <row r="159" spans="1:37" x14ac:dyDescent="0.35">
      <c r="A159" s="61">
        <v>45762</v>
      </c>
      <c r="B159">
        <v>2.8E-3</v>
      </c>
      <c r="C159">
        <v>5.1999999999999998E-3</v>
      </c>
      <c r="D159">
        <v>1.72E-2</v>
      </c>
      <c r="E159">
        <v>2.9700000000000001E-2</v>
      </c>
      <c r="F159">
        <v>1.4800000000000001E-2</v>
      </c>
      <c r="G159">
        <v>4.6199999999999998E-2</v>
      </c>
      <c r="H159">
        <v>5.5599999999999997E-2</v>
      </c>
      <c r="I159">
        <v>1.66E-2</v>
      </c>
      <c r="J159">
        <v>1.44E-2</v>
      </c>
      <c r="K159">
        <v>1.7100000000000001E-2</v>
      </c>
      <c r="L159">
        <v>2.1899999999999999E-2</v>
      </c>
      <c r="AI159">
        <v>2.3400000000000001E-2</v>
      </c>
      <c r="AJ159">
        <v>1.9300000000000001E-2</v>
      </c>
      <c r="AK159">
        <v>-2.3E-2</v>
      </c>
    </row>
    <row r="160" spans="1:37" x14ac:dyDescent="0.35">
      <c r="A160" s="61">
        <v>45758</v>
      </c>
      <c r="B160">
        <v>7.1000000000000004E-3</v>
      </c>
      <c r="C160">
        <v>-4.7000000000000002E-3</v>
      </c>
      <c r="D160">
        <v>4.4000000000000003E-3</v>
      </c>
      <c r="E160">
        <v>6.9999999999999999E-4</v>
      </c>
      <c r="F160">
        <v>2.3400000000000001E-2</v>
      </c>
      <c r="G160">
        <v>1.9300000000000001E-2</v>
      </c>
      <c r="H160">
        <v>2.6100000000000002E-2</v>
      </c>
      <c r="I160">
        <v>3.4599999999999999E-2</v>
      </c>
      <c r="J160">
        <v>-2.3E-2</v>
      </c>
      <c r="K160">
        <v>1.09E-2</v>
      </c>
      <c r="L160">
        <v>1.9199999999999998E-2</v>
      </c>
      <c r="AI160">
        <v>2.9999999999999997E-4</v>
      </c>
      <c r="AJ160">
        <v>-9.9000000000000008E-3</v>
      </c>
      <c r="AK160">
        <v>-4.2000000000000003E-2</v>
      </c>
    </row>
    <row r="161" spans="1:37" x14ac:dyDescent="0.35">
      <c r="A161" s="61">
        <v>45756</v>
      </c>
      <c r="B161">
        <v>3.0499999999999999E-2</v>
      </c>
      <c r="C161">
        <v>-1.41E-2</v>
      </c>
      <c r="D161">
        <v>-2.18E-2</v>
      </c>
      <c r="E161">
        <v>-3.6900000000000002E-2</v>
      </c>
      <c r="F161">
        <v>2.9999999999999997E-4</v>
      </c>
      <c r="G161">
        <v>-9.9000000000000008E-3</v>
      </c>
      <c r="H161">
        <v>-2.7799999999999998E-2</v>
      </c>
      <c r="I161">
        <v>3.8E-3</v>
      </c>
      <c r="J161">
        <v>-4.2000000000000003E-2</v>
      </c>
      <c r="K161">
        <v>-1.1599999999999999E-2</v>
      </c>
      <c r="L161">
        <v>-6.1000000000000004E-3</v>
      </c>
      <c r="AI161">
        <v>5.7000000000000002E-3</v>
      </c>
      <c r="AJ161">
        <v>7.1000000000000004E-3</v>
      </c>
      <c r="AK161">
        <v>1.2500000000000001E-2</v>
      </c>
    </row>
    <row r="162" spans="1:37" x14ac:dyDescent="0.35">
      <c r="A162" s="61">
        <v>45755</v>
      </c>
      <c r="B162">
        <v>1.17E-2</v>
      </c>
      <c r="C162">
        <v>5.7999999999999996E-3</v>
      </c>
      <c r="D162">
        <v>2.29E-2</v>
      </c>
      <c r="E162">
        <v>4.0000000000000001E-3</v>
      </c>
      <c r="F162">
        <v>5.7000000000000002E-3</v>
      </c>
      <c r="G162">
        <v>7.1000000000000004E-3</v>
      </c>
      <c r="H162">
        <v>1.2999999999999999E-2</v>
      </c>
      <c r="I162">
        <v>3.0599999999999999E-2</v>
      </c>
      <c r="J162">
        <v>1.2500000000000001E-2</v>
      </c>
      <c r="K162">
        <v>1.01E-2</v>
      </c>
      <c r="L162">
        <v>1.6899999999999998E-2</v>
      </c>
      <c r="AI162">
        <v>-3.4000000000000002E-2</v>
      </c>
      <c r="AJ162">
        <v>-4.24E-2</v>
      </c>
      <c r="AK162">
        <v>-8.0999999999999996E-3</v>
      </c>
    </row>
    <row r="163" spans="1:37" x14ac:dyDescent="0.35">
      <c r="A163" s="61">
        <v>45754</v>
      </c>
      <c r="B163">
        <v>-5.7999999999999996E-3</v>
      </c>
      <c r="C163">
        <v>-7.7000000000000002E-3</v>
      </c>
      <c r="D163">
        <v>-3.15E-2</v>
      </c>
      <c r="E163">
        <v>-1.61E-2</v>
      </c>
      <c r="F163">
        <v>-3.4000000000000002E-2</v>
      </c>
      <c r="G163">
        <v>-4.24E-2</v>
      </c>
      <c r="H163">
        <v>-4.7300000000000002E-2</v>
      </c>
      <c r="I163">
        <v>-1.7600000000000001E-2</v>
      </c>
      <c r="J163">
        <v>-8.0999999999999996E-3</v>
      </c>
      <c r="K163">
        <v>-3.0200000000000001E-2</v>
      </c>
      <c r="L163">
        <v>-3.2399999999999998E-2</v>
      </c>
      <c r="AI163">
        <v>-8.0999999999999996E-3</v>
      </c>
      <c r="AJ163">
        <v>7.0000000000000001E-3</v>
      </c>
      <c r="AK163">
        <v>-2E-3</v>
      </c>
    </row>
    <row r="164" spans="1:37" x14ac:dyDescent="0.35">
      <c r="A164" s="61">
        <v>45751</v>
      </c>
      <c r="B164">
        <v>7.3000000000000001E-3</v>
      </c>
      <c r="C164">
        <v>-3.0499999999999999E-2</v>
      </c>
      <c r="D164">
        <v>-2.8400000000000002E-2</v>
      </c>
      <c r="E164">
        <v>1.1900000000000001E-2</v>
      </c>
      <c r="F164">
        <v>-8.0999999999999996E-3</v>
      </c>
      <c r="G164">
        <v>7.0000000000000001E-3</v>
      </c>
      <c r="H164">
        <v>-7.0099999999999996E-2</v>
      </c>
      <c r="I164">
        <v>-4.9000000000000002E-2</v>
      </c>
      <c r="J164">
        <v>-2E-3</v>
      </c>
      <c r="K164">
        <v>-2.0400000000000001E-2</v>
      </c>
      <c r="L164">
        <v>-1.49E-2</v>
      </c>
      <c r="AI164">
        <v>-1.67E-2</v>
      </c>
      <c r="AJ164">
        <v>2.98E-2</v>
      </c>
      <c r="AK164">
        <v>3.0999999999999999E-3</v>
      </c>
    </row>
    <row r="165" spans="1:37" x14ac:dyDescent="0.35">
      <c r="A165" s="61">
        <v>45750</v>
      </c>
      <c r="B165">
        <v>1.5800000000000002E-2</v>
      </c>
      <c r="C165">
        <v>-3.9699999999999999E-2</v>
      </c>
      <c r="D165">
        <v>5.4000000000000003E-3</v>
      </c>
      <c r="E165">
        <v>1.2699999999999999E-2</v>
      </c>
      <c r="F165">
        <v>-1.67E-2</v>
      </c>
      <c r="G165">
        <v>2.98E-2</v>
      </c>
      <c r="H165">
        <v>-3.5999999999999999E-3</v>
      </c>
      <c r="I165">
        <v>5.5999999999999999E-3</v>
      </c>
      <c r="J165">
        <v>3.0999999999999999E-3</v>
      </c>
      <c r="K165">
        <v>2.2599999999999999E-2</v>
      </c>
      <c r="L165">
        <v>-3.5000000000000001E-3</v>
      </c>
      <c r="AI165">
        <v>-1.34E-2</v>
      </c>
      <c r="AJ165">
        <v>1.7500000000000002E-2</v>
      </c>
      <c r="AK165">
        <v>3.7000000000000002E-3</v>
      </c>
    </row>
    <row r="166" spans="1:37" x14ac:dyDescent="0.35">
      <c r="A166" s="61">
        <v>45749</v>
      </c>
      <c r="B166">
        <v>-1.04E-2</v>
      </c>
      <c r="C166">
        <v>-1.9E-3</v>
      </c>
      <c r="D166">
        <v>1.6500000000000001E-2</v>
      </c>
      <c r="E166">
        <v>7.3000000000000001E-3</v>
      </c>
      <c r="F166">
        <v>-1.34E-2</v>
      </c>
      <c r="G166">
        <v>1.7500000000000002E-2</v>
      </c>
      <c r="H166">
        <v>1.55E-2</v>
      </c>
      <c r="I166">
        <v>6.1000000000000004E-3</v>
      </c>
      <c r="J166">
        <v>3.7000000000000002E-3</v>
      </c>
      <c r="K166">
        <v>9.7999999999999997E-3</v>
      </c>
      <c r="L166">
        <v>7.1999999999999998E-3</v>
      </c>
      <c r="AI166">
        <v>-2.5999999999999999E-3</v>
      </c>
      <c r="AJ166">
        <v>-8.9999999999999993E-3</v>
      </c>
      <c r="AK166">
        <v>-2.8999999999999998E-3</v>
      </c>
    </row>
    <row r="167" spans="1:37" x14ac:dyDescent="0.35">
      <c r="A167" s="61">
        <v>45748</v>
      </c>
      <c r="B167">
        <v>-7.4000000000000003E-3</v>
      </c>
      <c r="C167">
        <v>-1.5299999999999999E-2</v>
      </c>
      <c r="D167">
        <v>-2.0999999999999999E-3</v>
      </c>
      <c r="E167">
        <v>-1.3599999999999999E-2</v>
      </c>
      <c r="F167">
        <v>-2.5999999999999999E-3</v>
      </c>
      <c r="G167">
        <v>-8.9999999999999993E-3</v>
      </c>
      <c r="H167">
        <v>-1.7600000000000001E-2</v>
      </c>
      <c r="I167">
        <v>1.26E-2</v>
      </c>
      <c r="J167">
        <v>-2.8999999999999998E-3</v>
      </c>
      <c r="K167">
        <v>8.9999999999999998E-4</v>
      </c>
      <c r="L167">
        <v>-1.4999999999999999E-2</v>
      </c>
      <c r="AI167">
        <v>-2.87E-2</v>
      </c>
      <c r="AJ167">
        <v>-2.0400000000000001E-2</v>
      </c>
      <c r="AK167">
        <v>4.1000000000000003E-3</v>
      </c>
    </row>
    <row r="168" spans="1:37" x14ac:dyDescent="0.35">
      <c r="A168" s="61">
        <v>45744</v>
      </c>
      <c r="B168">
        <v>3.8999999999999998E-3</v>
      </c>
      <c r="C168">
        <v>-1.23E-2</v>
      </c>
      <c r="D168">
        <v>-2.2000000000000001E-3</v>
      </c>
      <c r="E168">
        <v>-1.6000000000000001E-3</v>
      </c>
      <c r="F168">
        <v>-2.87E-2</v>
      </c>
      <c r="G168">
        <v>-2.0400000000000001E-2</v>
      </c>
      <c r="H168">
        <v>3.1300000000000001E-2</v>
      </c>
      <c r="I168">
        <v>-2.0799999999999999E-2</v>
      </c>
      <c r="J168">
        <v>4.1000000000000003E-3</v>
      </c>
      <c r="K168">
        <v>-1.03E-2</v>
      </c>
      <c r="L168">
        <v>-3.0999999999999999E-3</v>
      </c>
      <c r="AI168">
        <v>2.8899999999999999E-2</v>
      </c>
      <c r="AJ168">
        <v>4.4299999999999999E-2</v>
      </c>
      <c r="AK168">
        <v>-5.0000000000000001E-4</v>
      </c>
    </row>
    <row r="169" spans="1:37" x14ac:dyDescent="0.35">
      <c r="A169" s="61">
        <v>45743</v>
      </c>
      <c r="B169">
        <v>-5.9999999999999995E-4</v>
      </c>
      <c r="C169">
        <v>4.1999999999999997E-3</v>
      </c>
      <c r="D169">
        <v>1.8200000000000001E-2</v>
      </c>
      <c r="E169">
        <v>4.4000000000000003E-3</v>
      </c>
      <c r="F169">
        <v>2.8899999999999999E-2</v>
      </c>
      <c r="G169">
        <v>4.4299999999999999E-2</v>
      </c>
      <c r="H169">
        <v>1.29E-2</v>
      </c>
      <c r="I169">
        <v>4.3799999999999999E-2</v>
      </c>
      <c r="J169">
        <v>-5.0000000000000001E-4</v>
      </c>
      <c r="K169">
        <v>-6.4999999999999997E-3</v>
      </c>
      <c r="L169">
        <v>4.4999999999999997E-3</v>
      </c>
      <c r="AI169">
        <v>-1.83E-2</v>
      </c>
      <c r="AJ169">
        <v>-1.9400000000000001E-2</v>
      </c>
      <c r="AK169">
        <v>-9.4999999999999998E-3</v>
      </c>
    </row>
    <row r="170" spans="1:37" x14ac:dyDescent="0.35">
      <c r="A170" s="61">
        <v>45742</v>
      </c>
      <c r="B170">
        <v>-5.1000000000000004E-3</v>
      </c>
      <c r="C170">
        <v>-6.0000000000000001E-3</v>
      </c>
      <c r="D170">
        <v>-3.2000000000000002E-3</v>
      </c>
      <c r="E170">
        <v>-8.0000000000000002E-3</v>
      </c>
      <c r="F170">
        <v>-1.83E-2</v>
      </c>
      <c r="G170">
        <v>-1.9400000000000001E-2</v>
      </c>
      <c r="H170">
        <v>-5.1000000000000004E-3</v>
      </c>
      <c r="I170">
        <v>-2.3800000000000002E-2</v>
      </c>
      <c r="J170">
        <v>-9.4999999999999998E-3</v>
      </c>
      <c r="K170">
        <v>1.6899999999999998E-2</v>
      </c>
      <c r="L170">
        <v>-7.7000000000000002E-3</v>
      </c>
      <c r="AI170">
        <v>-1.0500000000000001E-2</v>
      </c>
      <c r="AJ170">
        <v>-3.1E-2</v>
      </c>
      <c r="AK170">
        <v>1.3100000000000001E-2</v>
      </c>
    </row>
    <row r="171" spans="1:37" x14ac:dyDescent="0.35">
      <c r="A171" s="61">
        <v>45741</v>
      </c>
      <c r="B171">
        <v>-3.8E-3</v>
      </c>
      <c r="C171">
        <v>7.9000000000000008E-3</v>
      </c>
      <c r="D171">
        <v>-1.3899999999999999E-2</v>
      </c>
      <c r="E171">
        <v>-8.0999999999999996E-3</v>
      </c>
      <c r="F171">
        <v>-1.0500000000000001E-2</v>
      </c>
      <c r="G171">
        <v>-3.1E-2</v>
      </c>
      <c r="H171">
        <v>-1.95E-2</v>
      </c>
      <c r="I171">
        <v>-3.5400000000000001E-2</v>
      </c>
      <c r="J171">
        <v>1.3100000000000001E-2</v>
      </c>
      <c r="K171">
        <v>-2.0899999999999998E-2</v>
      </c>
      <c r="L171">
        <v>4.0000000000000002E-4</v>
      </c>
      <c r="AI171">
        <v>3.6200000000000003E-2</v>
      </c>
      <c r="AJ171">
        <v>3.5000000000000001E-3</v>
      </c>
      <c r="AK171">
        <v>-2.0999999999999999E-3</v>
      </c>
    </row>
    <row r="172" spans="1:37" x14ac:dyDescent="0.35">
      <c r="A172" s="61">
        <v>45740</v>
      </c>
      <c r="B172">
        <v>-2.3E-3</v>
      </c>
      <c r="C172">
        <v>1.4200000000000001E-2</v>
      </c>
      <c r="D172">
        <v>1.1599999999999999E-2</v>
      </c>
      <c r="E172">
        <v>1.4999999999999999E-2</v>
      </c>
      <c r="F172">
        <v>3.6200000000000003E-2</v>
      </c>
      <c r="G172">
        <v>3.5000000000000001E-3</v>
      </c>
      <c r="H172">
        <v>1.55E-2</v>
      </c>
      <c r="I172">
        <v>1.03E-2</v>
      </c>
      <c r="J172">
        <v>-2.0999999999999999E-3</v>
      </c>
      <c r="K172">
        <v>1.1999999999999999E-3</v>
      </c>
      <c r="L172">
        <v>1.32E-2</v>
      </c>
      <c r="AI172">
        <v>4.1099999999999998E-2</v>
      </c>
      <c r="AJ172">
        <v>4.7000000000000002E-3</v>
      </c>
      <c r="AK172">
        <v>1E-3</v>
      </c>
    </row>
    <row r="173" spans="1:37" x14ac:dyDescent="0.35">
      <c r="A173" s="61">
        <v>45737</v>
      </c>
      <c r="B173">
        <v>2.1299999999999999E-2</v>
      </c>
      <c r="C173">
        <v>4.1999999999999997E-3</v>
      </c>
      <c r="D173">
        <v>1.52E-2</v>
      </c>
      <c r="E173">
        <v>-2.3999999999999998E-3</v>
      </c>
      <c r="F173">
        <v>4.1099999999999998E-2</v>
      </c>
      <c r="G173">
        <v>4.7000000000000002E-3</v>
      </c>
      <c r="H173">
        <v>-2.18E-2</v>
      </c>
      <c r="I173">
        <v>2.4799999999999999E-2</v>
      </c>
      <c r="J173">
        <v>1E-3</v>
      </c>
      <c r="K173">
        <v>3.0000000000000001E-3</v>
      </c>
      <c r="L173">
        <v>6.8999999999999999E-3</v>
      </c>
      <c r="AI173">
        <v>9.4000000000000004E-3</v>
      </c>
      <c r="AJ173">
        <v>-2.5999999999999999E-3</v>
      </c>
      <c r="AK173">
        <v>3.0999999999999999E-3</v>
      </c>
    </row>
    <row r="174" spans="1:37" x14ac:dyDescent="0.35">
      <c r="A174" s="61">
        <v>45736</v>
      </c>
      <c r="B174">
        <v>1.72E-2</v>
      </c>
      <c r="C174">
        <v>1.89E-2</v>
      </c>
      <c r="D174">
        <v>3.5000000000000001E-3</v>
      </c>
      <c r="E174">
        <v>1.24E-2</v>
      </c>
      <c r="F174">
        <v>9.4000000000000004E-3</v>
      </c>
      <c r="G174">
        <v>-2.5999999999999999E-3</v>
      </c>
      <c r="H174">
        <v>4.5999999999999999E-3</v>
      </c>
      <c r="I174">
        <v>6.1999999999999998E-3</v>
      </c>
      <c r="J174">
        <v>3.0999999999999999E-3</v>
      </c>
      <c r="K174">
        <v>2.8199999999999999E-2</v>
      </c>
      <c r="L174">
        <v>1.24E-2</v>
      </c>
      <c r="AI174">
        <v>2.2200000000000001E-2</v>
      </c>
      <c r="AJ174">
        <v>9.4000000000000004E-3</v>
      </c>
      <c r="AK174">
        <v>5.7999999999999996E-3</v>
      </c>
    </row>
    <row r="175" spans="1:37" x14ac:dyDescent="0.35">
      <c r="A175" s="61">
        <v>45735</v>
      </c>
      <c r="B175">
        <v>-8.2000000000000007E-3</v>
      </c>
      <c r="C175">
        <v>-1.5599999999999999E-2</v>
      </c>
      <c r="D175">
        <v>2.5499999999999998E-2</v>
      </c>
      <c r="E175">
        <v>1.77E-2</v>
      </c>
      <c r="F175">
        <v>2.2200000000000001E-2</v>
      </c>
      <c r="G175">
        <v>9.4000000000000004E-3</v>
      </c>
      <c r="H175">
        <v>4.0899999999999999E-2</v>
      </c>
      <c r="I175">
        <v>4.1099999999999998E-2</v>
      </c>
      <c r="J175">
        <v>5.7999999999999996E-3</v>
      </c>
      <c r="K175">
        <v>3.6400000000000002E-2</v>
      </c>
      <c r="L175">
        <v>3.2000000000000002E-3</v>
      </c>
      <c r="AI175">
        <v>-1.14E-2</v>
      </c>
      <c r="AJ175">
        <v>9.7000000000000003E-3</v>
      </c>
      <c r="AK175">
        <v>-7.1999999999999998E-3</v>
      </c>
    </row>
    <row r="176" spans="1:37" x14ac:dyDescent="0.35">
      <c r="A176" s="61">
        <v>45734</v>
      </c>
      <c r="B176">
        <v>1.2699999999999999E-2</v>
      </c>
      <c r="C176">
        <v>1.5699999999999999E-2</v>
      </c>
      <c r="D176">
        <v>1.61E-2</v>
      </c>
      <c r="E176">
        <v>2.2599999999999999E-2</v>
      </c>
      <c r="F176">
        <v>-1.14E-2</v>
      </c>
      <c r="G176">
        <v>9.7000000000000003E-3</v>
      </c>
      <c r="H176">
        <v>2.3999999999999998E-3</v>
      </c>
      <c r="I176">
        <v>2.5999999999999999E-2</v>
      </c>
      <c r="J176">
        <v>-7.1999999999999998E-3</v>
      </c>
      <c r="K176">
        <v>2.3999999999999998E-3</v>
      </c>
      <c r="L176">
        <v>1.4500000000000001E-2</v>
      </c>
      <c r="AI176">
        <v>-2.8000000000000001E-2</v>
      </c>
      <c r="AJ176">
        <v>-1.6000000000000001E-3</v>
      </c>
      <c r="AK176">
        <v>5.9999999999999995E-4</v>
      </c>
    </row>
    <row r="177" spans="1:37" x14ac:dyDescent="0.35">
      <c r="A177" s="61">
        <v>45733</v>
      </c>
      <c r="B177">
        <v>-8.0000000000000002E-3</v>
      </c>
      <c r="C177">
        <v>-3.8E-3</v>
      </c>
      <c r="D177">
        <v>7.1000000000000004E-3</v>
      </c>
      <c r="E177">
        <v>3.3999999999999998E-3</v>
      </c>
      <c r="F177">
        <v>-2.8000000000000001E-2</v>
      </c>
      <c r="G177">
        <v>-1.6000000000000001E-3</v>
      </c>
      <c r="H177">
        <v>1.24E-2</v>
      </c>
      <c r="I177">
        <v>-1.9900000000000001E-2</v>
      </c>
      <c r="J177">
        <v>5.9999999999999995E-4</v>
      </c>
      <c r="K177">
        <v>-8.9999999999999998E-4</v>
      </c>
      <c r="L177">
        <v>5.0000000000000001E-3</v>
      </c>
      <c r="AI177">
        <v>-5.4000000000000003E-3</v>
      </c>
      <c r="AJ177">
        <v>-6.9999999999999999E-4</v>
      </c>
      <c r="AK177">
        <v>-3.3999999999999998E-3</v>
      </c>
    </row>
    <row r="178" spans="1:37" x14ac:dyDescent="0.35">
      <c r="A178" s="61">
        <v>45729</v>
      </c>
      <c r="B178">
        <v>-1.6000000000000001E-3</v>
      </c>
      <c r="C178">
        <v>1.4E-3</v>
      </c>
      <c r="D178">
        <v>-5.7999999999999996E-3</v>
      </c>
      <c r="E178">
        <v>-1.3100000000000001E-2</v>
      </c>
      <c r="F178">
        <v>-5.4000000000000003E-3</v>
      </c>
      <c r="G178">
        <v>-6.9999999999999999E-4</v>
      </c>
      <c r="H178">
        <v>5.4999999999999997E-3</v>
      </c>
      <c r="I178">
        <v>-3.3E-3</v>
      </c>
      <c r="J178">
        <v>-3.3999999999999998E-3</v>
      </c>
      <c r="K178">
        <v>-2.7000000000000001E-3</v>
      </c>
      <c r="L178">
        <v>-3.3E-3</v>
      </c>
      <c r="AI178">
        <v>-5.7000000000000002E-3</v>
      </c>
      <c r="AJ178">
        <v>4.3E-3</v>
      </c>
      <c r="AK178">
        <v>1.49E-2</v>
      </c>
    </row>
    <row r="179" spans="1:37" x14ac:dyDescent="0.35">
      <c r="A179" s="61">
        <v>45728</v>
      </c>
      <c r="B179">
        <v>-2.4799999999999999E-2</v>
      </c>
      <c r="C179">
        <v>-1.9300000000000001E-2</v>
      </c>
      <c r="D179">
        <v>-1.29E-2</v>
      </c>
      <c r="E179">
        <v>1.26E-2</v>
      </c>
      <c r="F179">
        <v>-5.7000000000000002E-3</v>
      </c>
      <c r="G179">
        <v>4.3E-3</v>
      </c>
      <c r="H179">
        <v>5.9999999999999995E-4</v>
      </c>
      <c r="I179">
        <v>-1.21E-2</v>
      </c>
      <c r="J179">
        <v>1.49E-2</v>
      </c>
      <c r="K179">
        <v>1.0500000000000001E-2</v>
      </c>
      <c r="L179">
        <v>-1.1999999999999999E-3</v>
      </c>
      <c r="AI179">
        <v>-6.8999999999999999E-3</v>
      </c>
      <c r="AJ179">
        <v>1.01E-2</v>
      </c>
      <c r="AK179">
        <v>1.3100000000000001E-2</v>
      </c>
    </row>
    <row r="180" spans="1:37" x14ac:dyDescent="0.35">
      <c r="A180" s="61">
        <v>45727</v>
      </c>
      <c r="B180">
        <v>1.2999999999999999E-3</v>
      </c>
      <c r="C180">
        <v>-4.0000000000000001E-3</v>
      </c>
      <c r="D180">
        <v>2.8999999999999998E-3</v>
      </c>
      <c r="E180">
        <v>-4.3E-3</v>
      </c>
      <c r="F180">
        <v>-6.8999999999999999E-3</v>
      </c>
      <c r="G180">
        <v>1.01E-2</v>
      </c>
      <c r="H180">
        <v>2.2000000000000001E-3</v>
      </c>
      <c r="I180">
        <v>1.21E-2</v>
      </c>
      <c r="J180">
        <v>1.3100000000000001E-2</v>
      </c>
      <c r="K180">
        <v>8.6800000000000002E-2</v>
      </c>
      <c r="L180">
        <v>1.6999999999999999E-3</v>
      </c>
      <c r="AI180">
        <v>-2.3800000000000002E-2</v>
      </c>
      <c r="AJ180">
        <v>-2.2000000000000001E-3</v>
      </c>
      <c r="AK180">
        <v>7.9000000000000008E-3</v>
      </c>
    </row>
    <row r="181" spans="1:37" x14ac:dyDescent="0.35">
      <c r="A181" s="61">
        <v>45726</v>
      </c>
      <c r="B181">
        <v>4.4000000000000003E-3</v>
      </c>
      <c r="C181">
        <v>-6.0000000000000001E-3</v>
      </c>
      <c r="D181">
        <v>-1.4500000000000001E-2</v>
      </c>
      <c r="E181">
        <v>-8.9999999999999998E-4</v>
      </c>
      <c r="F181">
        <v>-2.3800000000000002E-2</v>
      </c>
      <c r="G181">
        <v>-2.2000000000000001E-3</v>
      </c>
      <c r="H181">
        <v>-6.7999999999999996E-3</v>
      </c>
      <c r="I181">
        <v>-3.8600000000000002E-2</v>
      </c>
      <c r="J181">
        <v>7.9000000000000008E-3</v>
      </c>
      <c r="K181">
        <v>-7.7000000000000002E-3</v>
      </c>
      <c r="L181">
        <v>-4.1000000000000003E-3</v>
      </c>
      <c r="AI181">
        <v>-1.2999999999999999E-3</v>
      </c>
      <c r="AJ181">
        <v>6.0000000000000001E-3</v>
      </c>
      <c r="AK181">
        <v>9.1000000000000004E-3</v>
      </c>
    </row>
    <row r="182" spans="1:37" x14ac:dyDescent="0.35">
      <c r="A182" s="61">
        <v>45723</v>
      </c>
      <c r="B182">
        <v>1.6899999999999998E-2</v>
      </c>
      <c r="C182">
        <v>2.7000000000000001E-3</v>
      </c>
      <c r="D182">
        <v>-4.7999999999999996E-3</v>
      </c>
      <c r="E182">
        <v>4.7999999999999996E-3</v>
      </c>
      <c r="F182">
        <v>-1.2999999999999999E-3</v>
      </c>
      <c r="G182">
        <v>6.0000000000000001E-3</v>
      </c>
      <c r="H182">
        <v>7.6E-3</v>
      </c>
      <c r="I182">
        <v>4.2299999999999997E-2</v>
      </c>
      <c r="J182">
        <v>9.1000000000000004E-3</v>
      </c>
      <c r="K182">
        <v>-1.04E-2</v>
      </c>
      <c r="L182">
        <v>2.9999999999999997E-4</v>
      </c>
      <c r="AI182">
        <v>-2.9999999999999997E-4</v>
      </c>
      <c r="AJ182">
        <v>-4.7000000000000002E-3</v>
      </c>
      <c r="AK182">
        <v>8.9999999999999993E-3</v>
      </c>
    </row>
    <row r="183" spans="1:37" x14ac:dyDescent="0.35">
      <c r="A183" s="61">
        <v>45722</v>
      </c>
      <c r="B183">
        <v>1.9E-3</v>
      </c>
      <c r="C183">
        <v>1.54E-2</v>
      </c>
      <c r="D183">
        <v>6.6E-3</v>
      </c>
      <c r="E183">
        <v>2.69E-2</v>
      </c>
      <c r="F183">
        <v>-2.9999999999999997E-4</v>
      </c>
      <c r="G183">
        <v>-4.7000000000000002E-3</v>
      </c>
      <c r="H183">
        <v>3.61E-2</v>
      </c>
      <c r="I183">
        <v>1.8100000000000002E-2</v>
      </c>
      <c r="J183">
        <v>8.9999999999999993E-3</v>
      </c>
      <c r="K183">
        <v>6.0000000000000001E-3</v>
      </c>
      <c r="L183">
        <v>9.2999999999999992E-3</v>
      </c>
      <c r="AI183">
        <v>3.0999999999999999E-3</v>
      </c>
      <c r="AJ183">
        <v>4.6100000000000002E-2</v>
      </c>
      <c r="AK183">
        <v>8.2000000000000007E-3</v>
      </c>
    </row>
    <row r="184" spans="1:37" x14ac:dyDescent="0.35">
      <c r="A184" s="61">
        <v>45721</v>
      </c>
      <c r="B184">
        <v>2.35E-2</v>
      </c>
      <c r="C184">
        <v>4.1999999999999997E-3</v>
      </c>
      <c r="D184">
        <v>3.9E-2</v>
      </c>
      <c r="E184">
        <v>1.6500000000000001E-2</v>
      </c>
      <c r="F184">
        <v>3.0999999999999999E-3</v>
      </c>
      <c r="G184">
        <v>4.6100000000000002E-2</v>
      </c>
      <c r="H184">
        <v>0.04</v>
      </c>
      <c r="I184">
        <v>6.5100000000000005E-2</v>
      </c>
      <c r="J184">
        <v>8.2000000000000007E-3</v>
      </c>
      <c r="K184">
        <v>5.6000000000000001E-2</v>
      </c>
      <c r="L184">
        <v>1.15E-2</v>
      </c>
      <c r="AI184">
        <v>1.04E-2</v>
      </c>
      <c r="AJ184">
        <v>2.0000000000000001E-4</v>
      </c>
      <c r="AK184">
        <v>-7.7000000000000002E-3</v>
      </c>
    </row>
    <row r="185" spans="1:37" x14ac:dyDescent="0.35">
      <c r="A185" s="61">
        <v>45720</v>
      </c>
      <c r="B185">
        <v>-1.7899999999999999E-2</v>
      </c>
      <c r="C185">
        <v>1.12E-2</v>
      </c>
      <c r="D185">
        <v>5.4999999999999997E-3</v>
      </c>
      <c r="E185">
        <v>-9.7999999999999997E-3</v>
      </c>
      <c r="F185">
        <v>1.04E-2</v>
      </c>
      <c r="G185">
        <v>2.0000000000000001E-4</v>
      </c>
      <c r="H185">
        <v>2.06E-2</v>
      </c>
      <c r="I185">
        <v>-1.2999999999999999E-3</v>
      </c>
      <c r="J185">
        <v>-7.7000000000000002E-3</v>
      </c>
      <c r="K185">
        <v>-5.7999999999999996E-3</v>
      </c>
      <c r="L185">
        <v>-1.6999999999999999E-3</v>
      </c>
      <c r="AI185">
        <v>-0.02</v>
      </c>
      <c r="AJ185">
        <v>8.8000000000000005E-3</v>
      </c>
      <c r="AK185">
        <v>-2.0799999999999999E-2</v>
      </c>
    </row>
    <row r="186" spans="1:37" x14ac:dyDescent="0.35">
      <c r="A186" s="61">
        <v>45719</v>
      </c>
      <c r="B186">
        <v>-1.9E-3</v>
      </c>
      <c r="C186">
        <v>2.8E-3</v>
      </c>
      <c r="D186">
        <v>-1.5299999999999999E-2</v>
      </c>
      <c r="E186">
        <v>3.8E-3</v>
      </c>
      <c r="F186">
        <v>-0.02</v>
      </c>
      <c r="G186">
        <v>8.8000000000000005E-3</v>
      </c>
      <c r="H186">
        <v>-8.6E-3</v>
      </c>
      <c r="I186">
        <v>4.8999999999999998E-3</v>
      </c>
      <c r="J186">
        <v>-2.0799999999999999E-2</v>
      </c>
      <c r="K186">
        <v>-2.1100000000000001E-2</v>
      </c>
      <c r="L186">
        <v>-2.0000000000000001E-4</v>
      </c>
      <c r="AI186">
        <v>4.0000000000000001E-3</v>
      </c>
      <c r="AJ186">
        <v>-3.6799999999999999E-2</v>
      </c>
      <c r="AK186">
        <v>7.9000000000000008E-3</v>
      </c>
    </row>
    <row r="187" spans="1:37" x14ac:dyDescent="0.35">
      <c r="A187" s="61">
        <v>45716</v>
      </c>
      <c r="B187">
        <v>-3.8899999999999997E-2</v>
      </c>
      <c r="C187">
        <v>-3.5799999999999998E-2</v>
      </c>
      <c r="D187">
        <v>-8.0000000000000004E-4</v>
      </c>
      <c r="E187">
        <v>-1.2999999999999999E-2</v>
      </c>
      <c r="F187">
        <v>4.0000000000000001E-3</v>
      </c>
      <c r="G187">
        <v>-3.6799999999999999E-2</v>
      </c>
      <c r="H187">
        <v>-5.0900000000000001E-2</v>
      </c>
      <c r="I187">
        <v>-7.5200000000000003E-2</v>
      </c>
      <c r="J187">
        <v>7.9000000000000008E-3</v>
      </c>
      <c r="K187">
        <v>-2.6200000000000001E-2</v>
      </c>
      <c r="L187">
        <v>-1.8599999999999998E-2</v>
      </c>
      <c r="AI187">
        <v>-5.6599999999999998E-2</v>
      </c>
      <c r="AJ187">
        <v>-1.1000000000000001E-3</v>
      </c>
      <c r="AK187">
        <v>1.35E-2</v>
      </c>
    </row>
    <row r="188" spans="1:37" x14ac:dyDescent="0.35">
      <c r="A188" s="61">
        <v>45715</v>
      </c>
      <c r="B188">
        <v>1.24E-2</v>
      </c>
      <c r="C188">
        <v>-4.7000000000000002E-3</v>
      </c>
      <c r="D188">
        <v>-2.0400000000000001E-2</v>
      </c>
      <c r="E188">
        <v>-1.4500000000000001E-2</v>
      </c>
      <c r="F188">
        <v>-5.6599999999999998E-2</v>
      </c>
      <c r="G188">
        <v>-1.1000000000000001E-3</v>
      </c>
      <c r="H188">
        <v>1.0999999999999999E-2</v>
      </c>
      <c r="I188">
        <v>-1.2800000000000001E-2</v>
      </c>
      <c r="J188">
        <v>1.35E-2</v>
      </c>
      <c r="K188">
        <v>-1.17E-2</v>
      </c>
      <c r="L188">
        <v>-1E-4</v>
      </c>
      <c r="AI188">
        <v>1.77E-2</v>
      </c>
      <c r="AJ188">
        <v>5.8900000000000001E-2</v>
      </c>
      <c r="AK188">
        <v>-1.5E-3</v>
      </c>
    </row>
    <row r="189" spans="1:37" x14ac:dyDescent="0.35">
      <c r="A189" s="61">
        <v>45713</v>
      </c>
      <c r="B189">
        <v>1.35E-2</v>
      </c>
      <c r="C189">
        <v>-1.2500000000000001E-2</v>
      </c>
      <c r="D189">
        <v>-2.4299999999999999E-2</v>
      </c>
      <c r="E189">
        <v>2.5999999999999999E-3</v>
      </c>
      <c r="F189">
        <v>1.77E-2</v>
      </c>
      <c r="G189">
        <v>5.8900000000000001E-2</v>
      </c>
      <c r="H189">
        <v>-2.0199999999999999E-2</v>
      </c>
      <c r="I189">
        <v>3.73E-2</v>
      </c>
      <c r="J189">
        <v>-1.5E-3</v>
      </c>
      <c r="K189">
        <v>-2.1299999999999999E-2</v>
      </c>
      <c r="L189">
        <v>-2.9999999999999997E-4</v>
      </c>
      <c r="AI189">
        <v>-1.9E-3</v>
      </c>
      <c r="AJ189">
        <v>-1.7899999999999999E-2</v>
      </c>
      <c r="AK189">
        <v>-4.4000000000000003E-3</v>
      </c>
    </row>
    <row r="190" spans="1:37" x14ac:dyDescent="0.35">
      <c r="A190" s="61">
        <v>45712</v>
      </c>
      <c r="B190">
        <v>2.5000000000000001E-3</v>
      </c>
      <c r="C190">
        <v>-2.92E-2</v>
      </c>
      <c r="D190">
        <v>-7.0000000000000001E-3</v>
      </c>
      <c r="E190">
        <v>-5.3E-3</v>
      </c>
      <c r="F190">
        <v>-1.9E-3</v>
      </c>
      <c r="G190">
        <v>-1.7899999999999999E-2</v>
      </c>
      <c r="H190">
        <v>-2.58E-2</v>
      </c>
      <c r="I190">
        <v>-3.8600000000000002E-2</v>
      </c>
      <c r="J190">
        <v>-4.4000000000000003E-3</v>
      </c>
      <c r="K190">
        <v>-9.7000000000000003E-3</v>
      </c>
      <c r="L190">
        <v>-1.06E-2</v>
      </c>
      <c r="AI190">
        <v>-2.9899999999999999E-2</v>
      </c>
      <c r="AJ190">
        <v>-1.17E-2</v>
      </c>
      <c r="AK190">
        <v>-7.4000000000000003E-3</v>
      </c>
    </row>
    <row r="191" spans="1:37" x14ac:dyDescent="0.35">
      <c r="A191" s="61">
        <v>45709</v>
      </c>
      <c r="B191">
        <v>3.7000000000000002E-3</v>
      </c>
      <c r="C191">
        <v>1.6999999999999999E-3</v>
      </c>
      <c r="D191">
        <v>5.7000000000000002E-3</v>
      </c>
      <c r="E191">
        <v>-1.83E-2</v>
      </c>
      <c r="F191">
        <v>-2.9899999999999999E-2</v>
      </c>
      <c r="G191">
        <v>-1.17E-2</v>
      </c>
      <c r="H191">
        <v>8.9999999999999993E-3</v>
      </c>
      <c r="I191">
        <v>1.1000000000000001E-3</v>
      </c>
      <c r="J191">
        <v>-7.4000000000000003E-3</v>
      </c>
      <c r="K191">
        <v>-2.4299999999999999E-2</v>
      </c>
      <c r="L191">
        <v>-5.1000000000000004E-3</v>
      </c>
      <c r="AI191">
        <v>-1.21E-2</v>
      </c>
      <c r="AJ191">
        <v>3.5999999999999999E-3</v>
      </c>
      <c r="AK191">
        <v>1.3299999999999999E-2</v>
      </c>
    </row>
    <row r="192" spans="1:37" x14ac:dyDescent="0.35">
      <c r="A192" s="61">
        <v>45708</v>
      </c>
      <c r="B192">
        <v>8.0000000000000004E-4</v>
      </c>
      <c r="C192">
        <v>-1.1999999999999999E-3</v>
      </c>
      <c r="D192">
        <v>1.6400000000000001E-2</v>
      </c>
      <c r="E192">
        <v>-7.9000000000000008E-3</v>
      </c>
      <c r="F192">
        <v>-1.21E-2</v>
      </c>
      <c r="G192">
        <v>3.5999999999999999E-3</v>
      </c>
      <c r="H192">
        <v>2.2700000000000001E-2</v>
      </c>
      <c r="I192">
        <v>-1.2999999999999999E-3</v>
      </c>
      <c r="J192">
        <v>1.3299999999999999E-2</v>
      </c>
      <c r="K192">
        <v>-1.03E-2</v>
      </c>
      <c r="L192">
        <v>-8.9999999999999998E-4</v>
      </c>
      <c r="AI192">
        <v>3.5799999999999998E-2</v>
      </c>
      <c r="AJ192">
        <v>-4.4999999999999997E-3</v>
      </c>
      <c r="AK192">
        <v>8.0999999999999996E-3</v>
      </c>
    </row>
    <row r="193" spans="1:37" x14ac:dyDescent="0.35">
      <c r="A193" s="61">
        <v>45707</v>
      </c>
      <c r="B193">
        <v>-7.9000000000000008E-3</v>
      </c>
      <c r="C193">
        <v>-2.3E-2</v>
      </c>
      <c r="D193">
        <v>6.7000000000000002E-3</v>
      </c>
      <c r="E193">
        <v>2.5899999999999999E-2</v>
      </c>
      <c r="F193">
        <v>3.5799999999999998E-2</v>
      </c>
      <c r="G193">
        <v>-4.4999999999999997E-3</v>
      </c>
      <c r="H193">
        <v>1.0800000000000001E-2</v>
      </c>
      <c r="I193">
        <v>7.7000000000000002E-3</v>
      </c>
      <c r="J193">
        <v>8.0999999999999996E-3</v>
      </c>
      <c r="K193">
        <v>9.1000000000000004E-3</v>
      </c>
      <c r="L193">
        <v>-5.0000000000000001E-4</v>
      </c>
      <c r="AI193">
        <v>-1.78E-2</v>
      </c>
      <c r="AJ193">
        <v>-1.12E-2</v>
      </c>
      <c r="AK193">
        <v>-5.1999999999999998E-3</v>
      </c>
    </row>
    <row r="194" spans="1:37" x14ac:dyDescent="0.35">
      <c r="A194" s="61">
        <v>45706</v>
      </c>
      <c r="B194">
        <v>2.7000000000000001E-3</v>
      </c>
      <c r="C194">
        <v>-8.0000000000000002E-3</v>
      </c>
      <c r="D194">
        <v>-8.0999999999999996E-3</v>
      </c>
      <c r="E194">
        <v>-1.18E-2</v>
      </c>
      <c r="F194">
        <v>-1.78E-2</v>
      </c>
      <c r="G194">
        <v>-1.12E-2</v>
      </c>
      <c r="H194">
        <v>-1.5599999999999999E-2</v>
      </c>
      <c r="I194">
        <v>3.9699999999999999E-2</v>
      </c>
      <c r="J194">
        <v>-5.1999999999999998E-3</v>
      </c>
      <c r="K194">
        <v>-1.2699999999999999E-2</v>
      </c>
      <c r="L194">
        <v>-5.9999999999999995E-4</v>
      </c>
      <c r="AI194">
        <v>2.0799999999999999E-2</v>
      </c>
      <c r="AJ194">
        <v>3.3E-3</v>
      </c>
      <c r="AK194">
        <v>-1.9E-3</v>
      </c>
    </row>
    <row r="195" spans="1:37" x14ac:dyDescent="0.35">
      <c r="A195" s="61">
        <v>45705</v>
      </c>
      <c r="B195">
        <v>9.4000000000000004E-3</v>
      </c>
      <c r="C195">
        <v>-7.7000000000000002E-3</v>
      </c>
      <c r="D195">
        <v>8.0000000000000002E-3</v>
      </c>
      <c r="E195">
        <v>2.1299999999999999E-2</v>
      </c>
      <c r="F195">
        <v>2.0799999999999999E-2</v>
      </c>
      <c r="G195">
        <v>3.3E-3</v>
      </c>
      <c r="H195">
        <v>-2.3999999999999998E-3</v>
      </c>
      <c r="I195">
        <v>3.4799999999999998E-2</v>
      </c>
      <c r="J195">
        <v>-1.9E-3</v>
      </c>
      <c r="K195">
        <v>2.8E-3</v>
      </c>
      <c r="L195">
        <v>1.2999999999999999E-3</v>
      </c>
      <c r="AI195">
        <v>3.8999999999999998E-3</v>
      </c>
      <c r="AJ195">
        <v>-1.9099999999999999E-2</v>
      </c>
      <c r="AK195">
        <v>-8.9999999999999998E-4</v>
      </c>
    </row>
    <row r="196" spans="1:37" x14ac:dyDescent="0.35">
      <c r="A196" s="61">
        <v>45702</v>
      </c>
      <c r="B196">
        <v>8.3999999999999995E-3</v>
      </c>
      <c r="C196">
        <v>6.3E-3</v>
      </c>
      <c r="D196">
        <v>-3.27E-2</v>
      </c>
      <c r="E196">
        <v>-1.9599999999999999E-2</v>
      </c>
      <c r="F196">
        <v>3.8999999999999998E-3</v>
      </c>
      <c r="G196">
        <v>-1.9099999999999999E-2</v>
      </c>
      <c r="H196">
        <v>1.15E-2</v>
      </c>
      <c r="I196">
        <v>-6.0000000000000001E-3</v>
      </c>
      <c r="J196">
        <v>-8.9999999999999998E-4</v>
      </c>
      <c r="K196">
        <v>-1.3100000000000001E-2</v>
      </c>
      <c r="L196">
        <v>-4.4000000000000003E-3</v>
      </c>
      <c r="AI196">
        <v>-2.7000000000000001E-3</v>
      </c>
      <c r="AJ196">
        <v>-7.1999999999999998E-3</v>
      </c>
      <c r="AK196">
        <v>-1.1299999999999999E-2</v>
      </c>
    </row>
    <row r="197" spans="1:37" x14ac:dyDescent="0.35">
      <c r="A197" s="61">
        <v>45701</v>
      </c>
      <c r="B197">
        <v>-7.4000000000000003E-3</v>
      </c>
      <c r="C197">
        <v>-1.01E-2</v>
      </c>
      <c r="D197">
        <v>3.0999999999999999E-3</v>
      </c>
      <c r="E197">
        <v>4.7000000000000002E-3</v>
      </c>
      <c r="F197">
        <v>-2.7000000000000001E-3</v>
      </c>
      <c r="G197">
        <v>-7.1999999999999998E-3</v>
      </c>
      <c r="H197">
        <v>-2.0299999999999999E-2</v>
      </c>
      <c r="I197">
        <v>4.8899999999999999E-2</v>
      </c>
      <c r="J197">
        <v>-1.1299999999999999E-2</v>
      </c>
      <c r="K197">
        <v>6.9999999999999999E-4</v>
      </c>
      <c r="L197">
        <v>-5.9999999999999995E-4</v>
      </c>
      <c r="AI197">
        <v>-1.72E-2</v>
      </c>
      <c r="AJ197">
        <v>7.1999999999999998E-3</v>
      </c>
      <c r="AK197">
        <v>1.3100000000000001E-2</v>
      </c>
    </row>
    <row r="198" spans="1:37" x14ac:dyDescent="0.35">
      <c r="A198" s="61">
        <v>45700</v>
      </c>
      <c r="B198">
        <v>-8.0000000000000004E-4</v>
      </c>
      <c r="C198">
        <v>-3.3999999999999998E-3</v>
      </c>
      <c r="D198">
        <v>-2.18E-2</v>
      </c>
      <c r="E198">
        <v>-1.4999999999999999E-2</v>
      </c>
      <c r="F198">
        <v>-1.72E-2</v>
      </c>
      <c r="G198">
        <v>7.1999999999999998E-3</v>
      </c>
      <c r="H198">
        <v>8.3999999999999995E-3</v>
      </c>
      <c r="I198">
        <v>-0.15909999999999999</v>
      </c>
      <c r="J198">
        <v>1.3100000000000001E-2</v>
      </c>
      <c r="K198">
        <v>-2.0999999999999999E-3</v>
      </c>
      <c r="L198">
        <v>-1.1999999999999999E-3</v>
      </c>
      <c r="AI198">
        <v>-1.03E-2</v>
      </c>
      <c r="AJ198">
        <v>1.37E-2</v>
      </c>
      <c r="AK198">
        <v>-2.41E-2</v>
      </c>
    </row>
    <row r="199" spans="1:37" x14ac:dyDescent="0.35">
      <c r="A199" s="61">
        <v>45699</v>
      </c>
      <c r="B199">
        <v>-1.15E-2</v>
      </c>
      <c r="C199">
        <v>-1.8200000000000001E-2</v>
      </c>
      <c r="D199">
        <v>-1.12E-2</v>
      </c>
      <c r="E199">
        <v>-2.7099999999999999E-2</v>
      </c>
      <c r="F199">
        <v>-1.03E-2</v>
      </c>
      <c r="G199">
        <v>1.37E-2</v>
      </c>
      <c r="H199">
        <v>-4.3200000000000002E-2</v>
      </c>
      <c r="I199">
        <v>1.47E-2</v>
      </c>
      <c r="J199">
        <v>-2.41E-2</v>
      </c>
      <c r="K199">
        <v>-2.9700000000000001E-2</v>
      </c>
      <c r="L199">
        <v>-1.32E-2</v>
      </c>
      <c r="AI199">
        <v>-2.2800000000000001E-2</v>
      </c>
      <c r="AJ199">
        <v>-5.4999999999999997E-3</v>
      </c>
      <c r="AK199">
        <v>-6.9999999999999999E-4</v>
      </c>
    </row>
    <row r="200" spans="1:37" x14ac:dyDescent="0.35">
      <c r="A200" s="61">
        <v>45698</v>
      </c>
      <c r="B200">
        <v>-1.8E-3</v>
      </c>
      <c r="C200">
        <v>1.9E-3</v>
      </c>
      <c r="D200">
        <v>-8.8000000000000005E-3</v>
      </c>
      <c r="E200">
        <v>-2.0199999999999999E-2</v>
      </c>
      <c r="F200">
        <v>-2.2800000000000001E-2</v>
      </c>
      <c r="G200">
        <v>-5.4999999999999997E-3</v>
      </c>
      <c r="H200">
        <v>-1.0699999999999999E-2</v>
      </c>
      <c r="I200">
        <v>-3.8999999999999998E-3</v>
      </c>
      <c r="J200">
        <v>-6.9999999999999999E-4</v>
      </c>
      <c r="K200">
        <v>-2.1000000000000001E-2</v>
      </c>
      <c r="L200">
        <v>-7.6E-3</v>
      </c>
      <c r="AI200">
        <v>3.9600000000000003E-2</v>
      </c>
      <c r="AJ200">
        <v>-1.8599999999999998E-2</v>
      </c>
      <c r="AK200">
        <v>2.8999999999999998E-3</v>
      </c>
    </row>
    <row r="201" spans="1:37" x14ac:dyDescent="0.35">
      <c r="A201" s="61">
        <v>45695</v>
      </c>
      <c r="B201">
        <v>-6.4000000000000003E-3</v>
      </c>
      <c r="C201">
        <v>-1.3100000000000001E-2</v>
      </c>
      <c r="D201">
        <v>-1.5299999999999999E-2</v>
      </c>
      <c r="E201">
        <v>3.0800000000000001E-2</v>
      </c>
      <c r="F201">
        <v>3.9600000000000003E-2</v>
      </c>
      <c r="G201">
        <v>-1.8599999999999998E-2</v>
      </c>
      <c r="H201">
        <v>-5.7999999999999996E-3</v>
      </c>
      <c r="I201">
        <v>-5.21E-2</v>
      </c>
      <c r="J201">
        <v>2.8999999999999998E-3</v>
      </c>
      <c r="K201">
        <v>1.1900000000000001E-2</v>
      </c>
      <c r="L201">
        <v>-1.8E-3</v>
      </c>
      <c r="AI201">
        <v>-8.3999999999999995E-3</v>
      </c>
      <c r="AJ201">
        <v>-3.8999999999999998E-3</v>
      </c>
      <c r="AK201">
        <v>7.1000000000000004E-3</v>
      </c>
    </row>
    <row r="202" spans="1:37" x14ac:dyDescent="0.35">
      <c r="A202" s="61">
        <v>45694</v>
      </c>
      <c r="B202">
        <v>-4.1999999999999997E-3</v>
      </c>
      <c r="C202">
        <v>-2E-3</v>
      </c>
      <c r="D202">
        <v>-1.6400000000000001E-2</v>
      </c>
      <c r="E202">
        <v>1.49E-2</v>
      </c>
      <c r="F202">
        <v>-8.3999999999999995E-3</v>
      </c>
      <c r="G202">
        <v>-3.8999999999999998E-3</v>
      </c>
      <c r="H202">
        <v>-5.2499999999999998E-2</v>
      </c>
      <c r="I202">
        <v>-5.9400000000000001E-2</v>
      </c>
      <c r="J202">
        <v>7.1000000000000004E-3</v>
      </c>
      <c r="K202">
        <v>-1.15E-2</v>
      </c>
      <c r="L202">
        <v>-3.8999999999999998E-3</v>
      </c>
      <c r="AI202">
        <v>-1.9E-3</v>
      </c>
      <c r="AJ202">
        <v>-1.9E-3</v>
      </c>
      <c r="AK202">
        <v>-1.1900000000000001E-2</v>
      </c>
    </row>
    <row r="203" spans="1:37" x14ac:dyDescent="0.35">
      <c r="A203" s="61">
        <v>45693</v>
      </c>
      <c r="B203">
        <v>-2.1999999999999999E-2</v>
      </c>
      <c r="C203">
        <v>-3.8999999999999998E-3</v>
      </c>
      <c r="D203">
        <v>9.7999999999999997E-3</v>
      </c>
      <c r="E203">
        <v>3.8E-3</v>
      </c>
      <c r="F203">
        <v>-1.9E-3</v>
      </c>
      <c r="G203">
        <v>-1.9E-3</v>
      </c>
      <c r="H203">
        <v>6.9900000000000004E-2</v>
      </c>
      <c r="I203">
        <v>-9.7000000000000003E-3</v>
      </c>
      <c r="J203">
        <v>-1.1900000000000001E-2</v>
      </c>
      <c r="K203">
        <v>1.1900000000000001E-2</v>
      </c>
      <c r="L203">
        <v>-1.8E-3</v>
      </c>
      <c r="AI203">
        <v>2.5000000000000001E-2</v>
      </c>
      <c r="AJ203">
        <v>8.2000000000000007E-3</v>
      </c>
      <c r="AK203">
        <v>2.0199999999999999E-2</v>
      </c>
    </row>
    <row r="204" spans="1:37" x14ac:dyDescent="0.35">
      <c r="A204" s="61">
        <v>45692</v>
      </c>
      <c r="B204">
        <v>-7.6E-3</v>
      </c>
      <c r="C204">
        <v>9.4000000000000004E-3</v>
      </c>
      <c r="D204">
        <v>5.1999999999999998E-3</v>
      </c>
      <c r="E204">
        <v>-2.0799999999999999E-2</v>
      </c>
      <c r="F204">
        <v>2.5000000000000001E-2</v>
      </c>
      <c r="G204">
        <v>8.2000000000000007E-3</v>
      </c>
      <c r="H204">
        <v>1.01E-2</v>
      </c>
      <c r="I204">
        <v>-7.0000000000000001E-3</v>
      </c>
      <c r="J204">
        <v>2.0199999999999999E-2</v>
      </c>
      <c r="K204">
        <v>1.66E-2</v>
      </c>
      <c r="L204">
        <v>1.6199999999999999E-2</v>
      </c>
      <c r="AI204">
        <v>2.8199999999999999E-2</v>
      </c>
      <c r="AJ204">
        <v>-2.3400000000000001E-2</v>
      </c>
      <c r="AK204">
        <v>-1.32E-2</v>
      </c>
    </row>
    <row r="205" spans="1:37" x14ac:dyDescent="0.35">
      <c r="A205" s="61">
        <v>45691</v>
      </c>
      <c r="B205">
        <v>-4.3E-3</v>
      </c>
      <c r="C205">
        <v>-1.1000000000000001E-3</v>
      </c>
      <c r="D205">
        <v>-2.1299999999999999E-2</v>
      </c>
      <c r="E205">
        <v>-1.21E-2</v>
      </c>
      <c r="F205">
        <v>2.8199999999999999E-2</v>
      </c>
      <c r="G205">
        <v>-2.3400000000000001E-2</v>
      </c>
      <c r="H205">
        <v>-3.0200000000000001E-2</v>
      </c>
      <c r="I205">
        <v>-1.6400000000000001E-2</v>
      </c>
      <c r="J205">
        <v>-1.32E-2</v>
      </c>
      <c r="K205">
        <v>-3.4799999999999998E-2</v>
      </c>
      <c r="L205">
        <v>-5.1999999999999998E-3</v>
      </c>
      <c r="AI205">
        <v>4.3499999999999997E-2</v>
      </c>
      <c r="AJ205">
        <v>2.0999999999999999E-3</v>
      </c>
      <c r="AK205">
        <v>-9.4999999999999998E-3</v>
      </c>
    </row>
    <row r="206" spans="1:37" x14ac:dyDescent="0.35">
      <c r="A206" s="61">
        <v>45689</v>
      </c>
      <c r="B206">
        <v>6.1000000000000004E-3</v>
      </c>
      <c r="C206">
        <v>-9.4999999999999998E-3</v>
      </c>
      <c r="D206">
        <v>3.3E-3</v>
      </c>
      <c r="E206">
        <v>-1.8800000000000001E-2</v>
      </c>
      <c r="F206">
        <v>4.3499999999999997E-2</v>
      </c>
      <c r="G206">
        <v>2.0999999999999999E-3</v>
      </c>
      <c r="H206">
        <v>-9.1999999999999998E-3</v>
      </c>
      <c r="I206">
        <v>2.5000000000000001E-2</v>
      </c>
      <c r="J206">
        <v>-9.4999999999999998E-3</v>
      </c>
      <c r="K206">
        <v>-0.01</v>
      </c>
      <c r="L206">
        <v>-1.1000000000000001E-3</v>
      </c>
      <c r="AI206">
        <v>3.4200000000000001E-2</v>
      </c>
      <c r="AJ206">
        <v>8.6E-3</v>
      </c>
      <c r="AK206">
        <v>1.0500000000000001E-2</v>
      </c>
    </row>
    <row r="207" spans="1:37" x14ac:dyDescent="0.35">
      <c r="A207" s="61">
        <v>45688</v>
      </c>
      <c r="B207">
        <v>4.3200000000000002E-2</v>
      </c>
      <c r="C207">
        <v>3.0000000000000001E-3</v>
      </c>
      <c r="D207">
        <v>2.4899999999999999E-2</v>
      </c>
      <c r="E207">
        <v>-2.6499999999999999E-2</v>
      </c>
      <c r="F207">
        <v>3.4200000000000001E-2</v>
      </c>
      <c r="G207">
        <v>8.6E-3</v>
      </c>
      <c r="H207">
        <v>1.9900000000000001E-2</v>
      </c>
      <c r="I207">
        <v>2.06E-2</v>
      </c>
      <c r="J207">
        <v>1.0500000000000001E-2</v>
      </c>
      <c r="K207">
        <v>2.9000000000000001E-2</v>
      </c>
      <c r="L207">
        <v>1.11E-2</v>
      </c>
      <c r="AI207">
        <v>-1.67E-2</v>
      </c>
      <c r="AJ207">
        <v>-2.6700000000000002E-2</v>
      </c>
      <c r="AK207">
        <v>5.1000000000000004E-3</v>
      </c>
    </row>
    <row r="208" spans="1:37" x14ac:dyDescent="0.35">
      <c r="A208" s="61">
        <v>45687</v>
      </c>
      <c r="B208">
        <v>1.6799999999999999E-2</v>
      </c>
      <c r="C208">
        <v>1E-4</v>
      </c>
      <c r="D208">
        <v>-4.0000000000000001E-3</v>
      </c>
      <c r="E208">
        <v>-6.9999999999999999E-4</v>
      </c>
      <c r="F208">
        <v>-1.67E-2</v>
      </c>
      <c r="G208">
        <v>-2.6700000000000002E-2</v>
      </c>
      <c r="H208">
        <v>7.0000000000000001E-3</v>
      </c>
      <c r="I208">
        <v>7.1000000000000004E-3</v>
      </c>
      <c r="J208">
        <v>5.1000000000000004E-3</v>
      </c>
      <c r="K208">
        <v>2.0500000000000001E-2</v>
      </c>
      <c r="L208">
        <v>3.7000000000000002E-3</v>
      </c>
      <c r="AI208">
        <v>1.55E-2</v>
      </c>
      <c r="AJ208">
        <v>5.1400000000000001E-2</v>
      </c>
      <c r="AK208">
        <v>3.8399999999999997E-2</v>
      </c>
    </row>
    <row r="209" spans="1:37" x14ac:dyDescent="0.35">
      <c r="A209" s="61">
        <v>45686</v>
      </c>
      <c r="B209">
        <v>1.1299999999999999E-2</v>
      </c>
      <c r="C209">
        <v>1.47E-2</v>
      </c>
      <c r="D209">
        <v>1.17E-2</v>
      </c>
      <c r="E209">
        <v>1.38E-2</v>
      </c>
      <c r="F209">
        <v>1.55E-2</v>
      </c>
      <c r="G209">
        <v>5.1400000000000001E-2</v>
      </c>
      <c r="H209">
        <v>1.18E-2</v>
      </c>
      <c r="I209">
        <v>-1.4999999999999999E-2</v>
      </c>
      <c r="J209">
        <v>3.8399999999999997E-2</v>
      </c>
      <c r="K209">
        <v>-2.7000000000000001E-3</v>
      </c>
      <c r="L209">
        <v>8.9999999999999993E-3</v>
      </c>
      <c r="AI209">
        <v>-1.18E-2</v>
      </c>
      <c r="AJ209">
        <v>5.9999999999999995E-4</v>
      </c>
      <c r="AK209">
        <v>1.14E-2</v>
      </c>
    </row>
    <row r="210" spans="1:37" x14ac:dyDescent="0.35">
      <c r="A210" s="61">
        <v>45685</v>
      </c>
      <c r="B210">
        <v>-8.5000000000000006E-3</v>
      </c>
      <c r="C210">
        <v>-6.1000000000000004E-3</v>
      </c>
      <c r="D210">
        <v>1.1900000000000001E-2</v>
      </c>
      <c r="E210">
        <v>-6.8999999999999999E-3</v>
      </c>
      <c r="F210">
        <v>-1.18E-2</v>
      </c>
      <c r="G210">
        <v>5.9999999999999995E-4</v>
      </c>
      <c r="H210">
        <v>-3.9100000000000003E-2</v>
      </c>
      <c r="I210">
        <v>2.76E-2</v>
      </c>
      <c r="J210">
        <v>1.14E-2</v>
      </c>
      <c r="K210">
        <v>-6.4999999999999997E-3</v>
      </c>
      <c r="L210">
        <v>5.5999999999999999E-3</v>
      </c>
      <c r="AI210">
        <v>-3.61E-2</v>
      </c>
      <c r="AJ210">
        <v>-3.49E-2</v>
      </c>
      <c r="AK210">
        <v>-1.3599999999999999E-2</v>
      </c>
    </row>
    <row r="211" spans="1:37" x14ac:dyDescent="0.35">
      <c r="A211" s="61">
        <v>45684</v>
      </c>
      <c r="B211">
        <v>-1.4999999999999999E-2</v>
      </c>
      <c r="C211">
        <v>-2.1000000000000001E-2</v>
      </c>
      <c r="D211">
        <v>-1.49E-2</v>
      </c>
      <c r="E211">
        <v>2.75E-2</v>
      </c>
      <c r="F211">
        <v>-3.61E-2</v>
      </c>
      <c r="G211">
        <v>-3.49E-2</v>
      </c>
      <c r="H211">
        <v>-3.3700000000000001E-2</v>
      </c>
      <c r="I211">
        <v>-2.64E-2</v>
      </c>
      <c r="J211">
        <v>-1.3599999999999999E-2</v>
      </c>
      <c r="K211">
        <v>-3.6900000000000002E-2</v>
      </c>
      <c r="L211">
        <v>-1.14E-2</v>
      </c>
      <c r="AI211">
        <v>1E-4</v>
      </c>
      <c r="AJ211">
        <v>-1.3299999999999999E-2</v>
      </c>
      <c r="AK211">
        <v>-5.8999999999999999E-3</v>
      </c>
    </row>
    <row r="212" spans="1:37" x14ac:dyDescent="0.35">
      <c r="A212" s="61">
        <v>45681</v>
      </c>
      <c r="B212">
        <v>4.1000000000000003E-3</v>
      </c>
      <c r="C212">
        <v>1.6999999999999999E-3</v>
      </c>
      <c r="D212">
        <v>-1.9099999999999999E-2</v>
      </c>
      <c r="E212">
        <v>-4.7000000000000002E-3</v>
      </c>
      <c r="F212">
        <v>1E-4</v>
      </c>
      <c r="G212">
        <v>-1.3299999999999999E-2</v>
      </c>
      <c r="H212">
        <v>-1.5900000000000001E-2</v>
      </c>
      <c r="I212">
        <v>-1.9900000000000001E-2</v>
      </c>
      <c r="J212">
        <v>-5.8999999999999999E-3</v>
      </c>
      <c r="K212">
        <v>-1.0200000000000001E-2</v>
      </c>
      <c r="L212">
        <v>-4.8999999999999998E-3</v>
      </c>
      <c r="AI212">
        <v>1.5E-3</v>
      </c>
      <c r="AJ212">
        <v>-6.8999999999999999E-3</v>
      </c>
      <c r="AK212">
        <v>-7.4999999999999997E-3</v>
      </c>
    </row>
    <row r="213" spans="1:37" x14ac:dyDescent="0.35">
      <c r="A213" s="61">
        <v>45680</v>
      </c>
      <c r="B213">
        <v>-4.0000000000000001E-3</v>
      </c>
      <c r="C213">
        <v>-2.7000000000000001E-3</v>
      </c>
      <c r="D213">
        <v>1.0500000000000001E-2</v>
      </c>
      <c r="E213">
        <v>3.0599999999999999E-2</v>
      </c>
      <c r="F213">
        <v>1.5E-3</v>
      </c>
      <c r="G213">
        <v>-6.8999999999999999E-3</v>
      </c>
      <c r="H213">
        <v>1.01E-2</v>
      </c>
      <c r="I213">
        <v>8.9999999999999998E-4</v>
      </c>
      <c r="J213">
        <v>-7.4999999999999997E-3</v>
      </c>
      <c r="K213">
        <v>-1.89E-2</v>
      </c>
      <c r="L213">
        <v>2.2000000000000001E-3</v>
      </c>
      <c r="AI213">
        <v>-2.47E-2</v>
      </c>
      <c r="AJ213">
        <v>-6.1999999999999998E-3</v>
      </c>
      <c r="AK213">
        <v>-1.32E-2</v>
      </c>
    </row>
    <row r="214" spans="1:37" x14ac:dyDescent="0.35">
      <c r="A214" s="61">
        <v>45679</v>
      </c>
      <c r="B214">
        <v>5.1999999999999998E-3</v>
      </c>
      <c r="C214">
        <v>2.9899999999999999E-2</v>
      </c>
      <c r="D214">
        <v>-1.0699999999999999E-2</v>
      </c>
      <c r="E214">
        <v>3.3999999999999998E-3</v>
      </c>
      <c r="F214">
        <v>-2.47E-2</v>
      </c>
      <c r="G214">
        <v>-6.1999999999999998E-3</v>
      </c>
      <c r="H214">
        <v>1.8100000000000002E-2</v>
      </c>
      <c r="I214">
        <v>-3.1199999999999999E-2</v>
      </c>
      <c r="J214">
        <v>-1.32E-2</v>
      </c>
      <c r="K214">
        <v>-1.1299999999999999E-2</v>
      </c>
      <c r="L214">
        <v>5.7000000000000002E-3</v>
      </c>
      <c r="AI214">
        <v>-2.07E-2</v>
      </c>
      <c r="AJ214">
        <v>-2.7699999999999999E-2</v>
      </c>
      <c r="AK214">
        <v>8.8000000000000005E-3</v>
      </c>
    </row>
    <row r="215" spans="1:37" x14ac:dyDescent="0.35">
      <c r="A215" s="61">
        <v>45678</v>
      </c>
      <c r="B215">
        <v>-7.9000000000000008E-3</v>
      </c>
      <c r="C215">
        <v>-1.03E-2</v>
      </c>
      <c r="D215">
        <v>-2.5000000000000001E-2</v>
      </c>
      <c r="E215">
        <v>-2.5000000000000001E-3</v>
      </c>
      <c r="F215">
        <v>-2.07E-2</v>
      </c>
      <c r="G215">
        <v>-2.7699999999999999E-2</v>
      </c>
      <c r="H215">
        <v>-9.7000000000000003E-3</v>
      </c>
      <c r="I215">
        <v>-1.43E-2</v>
      </c>
      <c r="J215">
        <v>8.8000000000000005E-3</v>
      </c>
      <c r="K215">
        <v>-1.9E-2</v>
      </c>
      <c r="L215">
        <v>-1.37E-2</v>
      </c>
      <c r="AI215">
        <v>-3.7000000000000002E-3</v>
      </c>
      <c r="AJ215">
        <v>-1.3599999999999999E-2</v>
      </c>
      <c r="AK215">
        <v>-1.6999999999999999E-3</v>
      </c>
    </row>
    <row r="216" spans="1:37" x14ac:dyDescent="0.35">
      <c r="A216" s="61">
        <v>45677</v>
      </c>
      <c r="B216">
        <v>-1.4E-3</v>
      </c>
      <c r="C216">
        <v>-1.1299999999999999E-2</v>
      </c>
      <c r="D216">
        <v>4.7999999999999996E-3</v>
      </c>
      <c r="E216">
        <v>-3.3E-3</v>
      </c>
      <c r="F216">
        <v>-3.7000000000000002E-3</v>
      </c>
      <c r="G216">
        <v>-1.3599999999999999E-2</v>
      </c>
      <c r="H216">
        <v>1.89E-2</v>
      </c>
      <c r="I216">
        <v>1.4999999999999999E-2</v>
      </c>
      <c r="J216">
        <v>-1.6999999999999999E-3</v>
      </c>
      <c r="K216">
        <v>1.8700000000000001E-2</v>
      </c>
      <c r="L216">
        <v>6.1000000000000004E-3</v>
      </c>
      <c r="AI216">
        <v>-1.54E-2</v>
      </c>
      <c r="AJ216">
        <v>-2.0799999999999999E-2</v>
      </c>
      <c r="AK216">
        <v>1.21E-2</v>
      </c>
    </row>
    <row r="217" spans="1:37" x14ac:dyDescent="0.35">
      <c r="A217" s="61">
        <v>45674</v>
      </c>
      <c r="B217">
        <v>2.2100000000000002E-2</v>
      </c>
      <c r="C217">
        <v>-3.8999999999999998E-3</v>
      </c>
      <c r="D217">
        <v>1.2500000000000001E-2</v>
      </c>
      <c r="E217">
        <v>-1.1999999999999999E-3</v>
      </c>
      <c r="F217">
        <v>-1.54E-2</v>
      </c>
      <c r="G217">
        <v>-2.0799999999999999E-2</v>
      </c>
      <c r="H217">
        <v>3.2000000000000002E-3</v>
      </c>
      <c r="I217">
        <v>2.9100000000000001E-2</v>
      </c>
      <c r="J217">
        <v>1.21E-2</v>
      </c>
      <c r="K217">
        <v>-5.3E-3</v>
      </c>
      <c r="L217">
        <v>-4.7000000000000002E-3</v>
      </c>
      <c r="AI217">
        <v>1.2E-2</v>
      </c>
      <c r="AJ217">
        <v>2.47E-2</v>
      </c>
      <c r="AK217">
        <v>5.1999999999999998E-3</v>
      </c>
    </row>
    <row r="218" spans="1:37" x14ac:dyDescent="0.35">
      <c r="A218" s="61">
        <v>45673</v>
      </c>
      <c r="B218">
        <v>-1.38E-2</v>
      </c>
      <c r="C218">
        <v>-1.0200000000000001E-2</v>
      </c>
      <c r="D218">
        <v>9.9000000000000008E-3</v>
      </c>
      <c r="E218">
        <v>-1.1299999999999999E-2</v>
      </c>
      <c r="F218">
        <v>1.2E-2</v>
      </c>
      <c r="G218">
        <v>2.47E-2</v>
      </c>
      <c r="H218">
        <v>3.0200000000000001E-2</v>
      </c>
      <c r="I218">
        <v>-1.84E-2</v>
      </c>
      <c r="J218">
        <v>5.1999999999999998E-3</v>
      </c>
      <c r="K218">
        <v>1.9099999999999999E-2</v>
      </c>
      <c r="L218">
        <v>4.1999999999999997E-3</v>
      </c>
      <c r="AI218">
        <v>7.4999999999999997E-3</v>
      </c>
      <c r="AJ218">
        <v>2.3199999999999998E-2</v>
      </c>
      <c r="AK218">
        <v>4.4999999999999997E-3</v>
      </c>
    </row>
    <row r="219" spans="1:37" x14ac:dyDescent="0.35">
      <c r="A219" s="61">
        <v>45672</v>
      </c>
      <c r="B219">
        <v>-8.6999999999999994E-3</v>
      </c>
      <c r="C219">
        <v>3.8999999999999998E-3</v>
      </c>
      <c r="D219">
        <v>1.29E-2</v>
      </c>
      <c r="E219">
        <v>-1.15E-2</v>
      </c>
      <c r="F219">
        <v>7.4999999999999997E-3</v>
      </c>
      <c r="G219">
        <v>2.3199999999999998E-2</v>
      </c>
      <c r="H219">
        <v>1.38E-2</v>
      </c>
      <c r="I219">
        <v>8.3999999999999995E-3</v>
      </c>
      <c r="J219">
        <v>4.4999999999999997E-3</v>
      </c>
      <c r="K219">
        <v>-1E-3</v>
      </c>
      <c r="L219">
        <v>1.6000000000000001E-3</v>
      </c>
      <c r="AI219">
        <v>8.5000000000000006E-3</v>
      </c>
      <c r="AJ219">
        <v>0.19359999999999999</v>
      </c>
      <c r="AK219">
        <v>4.5999999999999999E-3</v>
      </c>
    </row>
    <row r="220" spans="1:37" x14ac:dyDescent="0.35">
      <c r="A220" s="61">
        <v>45671</v>
      </c>
      <c r="B220">
        <v>-8.2000000000000007E-3</v>
      </c>
      <c r="C220">
        <v>-1.35E-2</v>
      </c>
      <c r="D220">
        <v>2.0299999999999999E-2</v>
      </c>
      <c r="E220">
        <v>5.3E-3</v>
      </c>
      <c r="F220">
        <v>8.5000000000000006E-3</v>
      </c>
      <c r="G220">
        <v>0.19359999999999999</v>
      </c>
      <c r="H220">
        <v>3.9699999999999999E-2</v>
      </c>
      <c r="I220">
        <v>-1.9400000000000001E-2</v>
      </c>
      <c r="J220">
        <v>4.5999999999999999E-3</v>
      </c>
      <c r="K220">
        <v>2.7300000000000001E-2</v>
      </c>
      <c r="L220">
        <v>3.8999999999999998E-3</v>
      </c>
      <c r="AI220">
        <v>-1.1599999999999999E-2</v>
      </c>
      <c r="AJ220">
        <v>-6.7199999999999996E-2</v>
      </c>
      <c r="AK220">
        <v>-2.53E-2</v>
      </c>
    </row>
    <row r="221" spans="1:37" x14ac:dyDescent="0.35">
      <c r="A221" s="61">
        <v>45670</v>
      </c>
      <c r="B221">
        <v>-4.7000000000000002E-3</v>
      </c>
      <c r="C221">
        <v>6.0000000000000001E-3</v>
      </c>
      <c r="D221">
        <v>-3.6400000000000002E-2</v>
      </c>
      <c r="E221">
        <v>-1.1900000000000001E-2</v>
      </c>
      <c r="F221">
        <v>-1.1599999999999999E-2</v>
      </c>
      <c r="G221">
        <v>-6.7199999999999996E-2</v>
      </c>
      <c r="H221">
        <v>-3.2199999999999999E-2</v>
      </c>
      <c r="I221">
        <v>-3.9100000000000003E-2</v>
      </c>
      <c r="J221">
        <v>-2.53E-2</v>
      </c>
      <c r="K221">
        <v>-5.04E-2</v>
      </c>
      <c r="L221">
        <v>-1.47E-2</v>
      </c>
      <c r="AI221">
        <v>1.1000000000000001E-3</v>
      </c>
      <c r="AJ221">
        <v>-3.1300000000000001E-2</v>
      </c>
      <c r="AK221">
        <v>-3.0000000000000001E-3</v>
      </c>
    </row>
    <row r="222" spans="1:37" x14ac:dyDescent="0.35">
      <c r="A222" s="61">
        <v>45667</v>
      </c>
      <c r="B222">
        <v>-3.5999999999999999E-3</v>
      </c>
      <c r="C222">
        <v>3.9600000000000003E-2</v>
      </c>
      <c r="D222">
        <v>-4.3E-3</v>
      </c>
      <c r="E222">
        <v>-1.4200000000000001E-2</v>
      </c>
      <c r="F222">
        <v>1.1000000000000001E-3</v>
      </c>
      <c r="G222">
        <v>-3.1300000000000001E-2</v>
      </c>
      <c r="H222">
        <v>-9.9000000000000008E-3</v>
      </c>
      <c r="I222">
        <v>-2.1700000000000001E-2</v>
      </c>
      <c r="J222">
        <v>-3.0000000000000001E-3</v>
      </c>
      <c r="K222">
        <v>7.1000000000000004E-3</v>
      </c>
      <c r="L222">
        <v>-4.0000000000000001E-3</v>
      </c>
      <c r="AI222">
        <v>-1.43E-2</v>
      </c>
      <c r="AJ222">
        <v>-1.4E-2</v>
      </c>
      <c r="AK222">
        <v>7.6E-3</v>
      </c>
    </row>
    <row r="223" spans="1:37" x14ac:dyDescent="0.35">
      <c r="A223" s="61">
        <v>45666</v>
      </c>
      <c r="B223">
        <v>1.6299999999999999E-2</v>
      </c>
      <c r="C223">
        <v>-1.6899999999999998E-2</v>
      </c>
      <c r="D223">
        <v>-2.9700000000000001E-2</v>
      </c>
      <c r="E223">
        <v>-1E-3</v>
      </c>
      <c r="F223">
        <v>-1.43E-2</v>
      </c>
      <c r="G223">
        <v>-1.4E-2</v>
      </c>
      <c r="H223">
        <v>-1.37E-2</v>
      </c>
      <c r="I223">
        <v>2.2000000000000001E-3</v>
      </c>
      <c r="J223">
        <v>7.6E-3</v>
      </c>
      <c r="K223">
        <v>1.1999999999999999E-3</v>
      </c>
      <c r="L223">
        <v>-6.8999999999999999E-3</v>
      </c>
      <c r="AI223">
        <v>-1.18E-2</v>
      </c>
      <c r="AJ223">
        <v>-9.5999999999999992E-3</v>
      </c>
      <c r="AK223">
        <v>-9.4999999999999998E-3</v>
      </c>
    </row>
    <row r="224" spans="1:37" x14ac:dyDescent="0.35">
      <c r="A224" s="61">
        <v>45665</v>
      </c>
      <c r="B224">
        <v>3.3E-3</v>
      </c>
      <c r="C224">
        <v>1.9900000000000001E-2</v>
      </c>
      <c r="D224">
        <v>-8.6E-3</v>
      </c>
      <c r="E224">
        <v>-2.3300000000000001E-2</v>
      </c>
      <c r="F224">
        <v>-1.18E-2</v>
      </c>
      <c r="G224">
        <v>-9.5999999999999992E-3</v>
      </c>
      <c r="H224">
        <v>-1.06E-2</v>
      </c>
      <c r="I224">
        <v>-8.6999999999999994E-3</v>
      </c>
      <c r="J224">
        <v>-9.4999999999999998E-3</v>
      </c>
      <c r="K224">
        <v>1.0800000000000001E-2</v>
      </c>
      <c r="L224">
        <v>-8.0000000000000004E-4</v>
      </c>
      <c r="AI224">
        <v>1.77E-2</v>
      </c>
      <c r="AJ224">
        <v>2.3199999999999998E-2</v>
      </c>
      <c r="AK224">
        <v>-1.5E-3</v>
      </c>
    </row>
    <row r="225" spans="1:37" x14ac:dyDescent="0.35">
      <c r="A225" s="61">
        <v>45664</v>
      </c>
      <c r="B225">
        <v>1.2699999999999999E-2</v>
      </c>
      <c r="C225">
        <v>-1.6299999999999999E-2</v>
      </c>
      <c r="D225">
        <v>5.9999999999999995E-4</v>
      </c>
      <c r="E225">
        <v>1.2200000000000001E-2</v>
      </c>
      <c r="F225">
        <v>1.77E-2</v>
      </c>
      <c r="G225">
        <v>2.3199999999999998E-2</v>
      </c>
      <c r="H225">
        <v>3.8999999999999998E-3</v>
      </c>
      <c r="I225">
        <v>-4.3E-3</v>
      </c>
      <c r="J225">
        <v>-1.5E-3</v>
      </c>
      <c r="K225">
        <v>-2.8E-3</v>
      </c>
      <c r="L225">
        <v>3.8999999999999998E-3</v>
      </c>
      <c r="AI225">
        <v>-1.4999999999999999E-2</v>
      </c>
      <c r="AJ225">
        <v>-4.2599999999999999E-2</v>
      </c>
      <c r="AK225">
        <v>-2.4500000000000001E-2</v>
      </c>
    </row>
    <row r="226" spans="1:37" x14ac:dyDescent="0.35">
      <c r="A226" s="61">
        <v>45663</v>
      </c>
      <c r="B226">
        <v>-2.1399999999999999E-2</v>
      </c>
      <c r="C226">
        <v>-1.1999999999999999E-3</v>
      </c>
      <c r="D226">
        <v>-3.5799999999999998E-2</v>
      </c>
      <c r="E226">
        <v>-1.17E-2</v>
      </c>
      <c r="F226">
        <v>-1.4999999999999999E-2</v>
      </c>
      <c r="G226">
        <v>-4.2599999999999999E-2</v>
      </c>
      <c r="H226">
        <v>-4.7600000000000003E-2</v>
      </c>
      <c r="I226">
        <v>-4.0899999999999999E-2</v>
      </c>
      <c r="J226">
        <v>-2.4500000000000001E-2</v>
      </c>
      <c r="K226">
        <v>-2.6100000000000002E-2</v>
      </c>
      <c r="L226">
        <v>-1.6199999999999999E-2</v>
      </c>
      <c r="AI226">
        <v>5.4999999999999997E-3</v>
      </c>
      <c r="AJ226">
        <v>-2.5999999999999999E-3</v>
      </c>
      <c r="AK226">
        <v>-8.9999999999999998E-4</v>
      </c>
    </row>
    <row r="227" spans="1:37" x14ac:dyDescent="0.35">
      <c r="A227" s="61">
        <v>45660</v>
      </c>
      <c r="B227">
        <v>1.4800000000000001E-2</v>
      </c>
      <c r="C227">
        <v>-1.8200000000000001E-2</v>
      </c>
      <c r="D227">
        <v>6.7000000000000002E-3</v>
      </c>
      <c r="E227">
        <v>-1.12E-2</v>
      </c>
      <c r="F227">
        <v>5.4999999999999997E-3</v>
      </c>
      <c r="G227">
        <v>-2.5999999999999999E-3</v>
      </c>
      <c r="H227">
        <v>3.6799999999999999E-2</v>
      </c>
      <c r="I227">
        <v>-7.9000000000000008E-3</v>
      </c>
      <c r="J227">
        <v>-8.9999999999999998E-4</v>
      </c>
      <c r="K227">
        <v>-4.8999999999999998E-3</v>
      </c>
      <c r="L227">
        <v>-7.6E-3</v>
      </c>
      <c r="AI227">
        <v>1.0699999999999999E-2</v>
      </c>
      <c r="AJ227">
        <v>-9.1999999999999998E-3</v>
      </c>
      <c r="AK227">
        <v>-3.7000000000000002E-3</v>
      </c>
    </row>
    <row r="228" spans="1:37" x14ac:dyDescent="0.35">
      <c r="A228" s="61">
        <v>45659</v>
      </c>
      <c r="B228">
        <v>1.43E-2</v>
      </c>
      <c r="C228">
        <v>1.54E-2</v>
      </c>
      <c r="D228">
        <v>6.6E-3</v>
      </c>
      <c r="E228">
        <v>6.7000000000000002E-3</v>
      </c>
      <c r="F228">
        <v>1.0699999999999999E-2</v>
      </c>
      <c r="G228">
        <v>-9.1999999999999998E-3</v>
      </c>
      <c r="H228">
        <v>1.9E-2</v>
      </c>
      <c r="I228">
        <v>1E-3</v>
      </c>
      <c r="J228">
        <v>-3.7000000000000002E-3</v>
      </c>
      <c r="K228">
        <v>1.12E-2</v>
      </c>
      <c r="L228">
        <v>1.8800000000000001E-2</v>
      </c>
      <c r="AI228">
        <v>-3.7000000000000002E-3</v>
      </c>
      <c r="AJ228">
        <v>-5.3E-3</v>
      </c>
      <c r="AK228">
        <v>8.3000000000000001E-3</v>
      </c>
    </row>
    <row r="229" spans="1:37" x14ac:dyDescent="0.35">
      <c r="A229" s="61">
        <v>45658</v>
      </c>
      <c r="B229">
        <v>-4.0000000000000002E-4</v>
      </c>
      <c r="C229">
        <v>4.3E-3</v>
      </c>
      <c r="D229">
        <v>4.8999999999999998E-3</v>
      </c>
      <c r="E229">
        <v>1.7399999999999999E-2</v>
      </c>
      <c r="F229">
        <v>-3.7000000000000002E-3</v>
      </c>
      <c r="G229">
        <v>-5.3E-3</v>
      </c>
      <c r="H229">
        <v>1E-4</v>
      </c>
      <c r="I229">
        <v>1.9199999999999998E-2</v>
      </c>
      <c r="J229">
        <v>8.3000000000000001E-3</v>
      </c>
      <c r="K229">
        <v>1.3100000000000001E-2</v>
      </c>
      <c r="L229">
        <v>4.1000000000000003E-3</v>
      </c>
      <c r="AI229">
        <v>5.3E-3</v>
      </c>
      <c r="AJ229">
        <v>-1.8499999999999999E-2</v>
      </c>
      <c r="AK229">
        <v>9.7000000000000003E-3</v>
      </c>
    </row>
    <row r="230" spans="1:37" x14ac:dyDescent="0.35">
      <c r="A230" s="61">
        <v>45657</v>
      </c>
      <c r="B230">
        <v>4.7000000000000002E-3</v>
      </c>
      <c r="C230">
        <v>-1.54E-2</v>
      </c>
      <c r="D230">
        <v>-1.4800000000000001E-2</v>
      </c>
      <c r="E230">
        <v>-2.8E-3</v>
      </c>
      <c r="F230">
        <v>5.3E-3</v>
      </c>
      <c r="G230">
        <v>-1.8499999999999999E-2</v>
      </c>
      <c r="H230">
        <v>2.6800000000000001E-2</v>
      </c>
      <c r="I230">
        <v>1.2699999999999999E-2</v>
      </c>
      <c r="J230">
        <v>9.7000000000000003E-3</v>
      </c>
      <c r="K230">
        <v>3.7000000000000002E-3</v>
      </c>
      <c r="L230">
        <v>0</v>
      </c>
      <c r="AI230">
        <v>2.5000000000000001E-3</v>
      </c>
      <c r="AJ230">
        <v>6.4500000000000002E-2</v>
      </c>
      <c r="AK230">
        <v>2.7000000000000001E-3</v>
      </c>
    </row>
    <row r="231" spans="1:37" x14ac:dyDescent="0.35">
      <c r="A231" s="61">
        <v>45656</v>
      </c>
      <c r="B231">
        <v>-2.5999999999999999E-3</v>
      </c>
      <c r="C231">
        <v>-1.5E-3</v>
      </c>
      <c r="D231">
        <v>2.07E-2</v>
      </c>
      <c r="E231">
        <v>-1.0500000000000001E-2</v>
      </c>
      <c r="F231">
        <v>2.5000000000000001E-3</v>
      </c>
      <c r="G231">
        <v>6.4500000000000002E-2</v>
      </c>
      <c r="H231">
        <v>-4.9000000000000002E-2</v>
      </c>
      <c r="I231">
        <v>-2.0500000000000001E-2</v>
      </c>
      <c r="J231">
        <v>2.7000000000000001E-3</v>
      </c>
      <c r="K231">
        <v>-9.5999999999999992E-3</v>
      </c>
      <c r="L231">
        <v>-7.1000000000000004E-3</v>
      </c>
      <c r="AI231">
        <v>8.0000000000000002E-3</v>
      </c>
      <c r="AJ231">
        <v>-8.0000000000000004E-4</v>
      </c>
      <c r="AK231">
        <v>2.2000000000000001E-3</v>
      </c>
    </row>
    <row r="232" spans="1:37" x14ac:dyDescent="0.35">
      <c r="A232" s="61">
        <v>45653</v>
      </c>
      <c r="B232">
        <v>7.3000000000000001E-3</v>
      </c>
      <c r="C232">
        <v>-1E-3</v>
      </c>
      <c r="D232">
        <v>-5.4999999999999997E-3</v>
      </c>
      <c r="E232">
        <v>-4.7000000000000002E-3</v>
      </c>
      <c r="F232">
        <v>8.0000000000000002E-3</v>
      </c>
      <c r="G232">
        <v>-8.0000000000000004E-4</v>
      </c>
      <c r="H232">
        <v>3.2000000000000002E-3</v>
      </c>
      <c r="I232">
        <v>2.3E-3</v>
      </c>
      <c r="J232">
        <v>2.2000000000000001E-3</v>
      </c>
      <c r="K232">
        <v>-1.14E-2</v>
      </c>
      <c r="L232">
        <v>2.7000000000000001E-3</v>
      </c>
      <c r="AI232">
        <v>7.1000000000000004E-3</v>
      </c>
      <c r="AJ232">
        <v>2.2499999999999999E-2</v>
      </c>
      <c r="AK232">
        <v>1.9699999999999999E-2</v>
      </c>
    </row>
    <row r="233" spans="1:37" x14ac:dyDescent="0.35">
      <c r="A233" s="61">
        <v>45652</v>
      </c>
      <c r="B233">
        <v>-7.7999999999999996E-3</v>
      </c>
      <c r="C233">
        <v>-2.5000000000000001E-3</v>
      </c>
      <c r="D233">
        <v>1.4E-3</v>
      </c>
      <c r="E233">
        <v>6.4000000000000003E-3</v>
      </c>
      <c r="F233">
        <v>7.1000000000000004E-3</v>
      </c>
      <c r="G233">
        <v>2.2499999999999999E-2</v>
      </c>
      <c r="H233">
        <v>-2.1899999999999999E-2</v>
      </c>
      <c r="I233">
        <v>-1.0699999999999999E-2</v>
      </c>
      <c r="J233">
        <v>1.9699999999999999E-2</v>
      </c>
      <c r="K233">
        <v>6.7000000000000002E-3</v>
      </c>
      <c r="L233">
        <v>1E-3</v>
      </c>
      <c r="AI233">
        <v>7.1999999999999998E-3</v>
      </c>
      <c r="AJ233">
        <v>-1.61E-2</v>
      </c>
      <c r="AK233">
        <v>-2.8999999999999998E-3</v>
      </c>
    </row>
    <row r="234" spans="1:37" x14ac:dyDescent="0.35">
      <c r="A234" s="61">
        <v>45650</v>
      </c>
      <c r="B234">
        <v>7.0000000000000001E-3</v>
      </c>
      <c r="C234">
        <v>5.1000000000000004E-3</v>
      </c>
      <c r="D234">
        <v>-1.5599999999999999E-2</v>
      </c>
      <c r="E234">
        <v>-6.1000000000000004E-3</v>
      </c>
      <c r="F234">
        <v>7.1999999999999998E-3</v>
      </c>
      <c r="G234">
        <v>-1.61E-2</v>
      </c>
      <c r="H234">
        <v>-1.1000000000000001E-3</v>
      </c>
      <c r="I234">
        <v>2.6700000000000002E-2</v>
      </c>
      <c r="J234">
        <v>-2.8999999999999998E-3</v>
      </c>
      <c r="K234">
        <v>7.1999999999999998E-3</v>
      </c>
      <c r="L234">
        <v>-1.1000000000000001E-3</v>
      </c>
      <c r="AI234">
        <v>-7.7000000000000002E-3</v>
      </c>
      <c r="AJ234">
        <v>1.2500000000000001E-2</v>
      </c>
      <c r="AK234">
        <v>2.23E-2</v>
      </c>
    </row>
    <row r="235" spans="1:37" x14ac:dyDescent="0.35">
      <c r="A235" s="61">
        <v>45649</v>
      </c>
      <c r="B235">
        <v>-5.4999999999999997E-3</v>
      </c>
      <c r="C235">
        <v>-2.8999999999999998E-3</v>
      </c>
      <c r="D235">
        <v>3.3999999999999998E-3</v>
      </c>
      <c r="E235">
        <v>-4.7999999999999996E-3</v>
      </c>
      <c r="F235">
        <v>-7.7000000000000002E-3</v>
      </c>
      <c r="G235">
        <v>1.2500000000000001E-2</v>
      </c>
      <c r="H235">
        <v>-1.0500000000000001E-2</v>
      </c>
      <c r="I235">
        <v>-3.0099999999999998E-2</v>
      </c>
      <c r="J235">
        <v>2.23E-2</v>
      </c>
      <c r="K235">
        <v>-5.9999999999999995E-4</v>
      </c>
      <c r="L235">
        <v>7.0000000000000001E-3</v>
      </c>
      <c r="AI235">
        <v>-1.1900000000000001E-2</v>
      </c>
      <c r="AJ235">
        <v>-2.0500000000000001E-2</v>
      </c>
      <c r="AK235">
        <v>-1.9900000000000001E-2</v>
      </c>
    </row>
    <row r="236" spans="1:37" x14ac:dyDescent="0.35">
      <c r="A236" s="61">
        <v>45646</v>
      </c>
      <c r="B236">
        <v>1.4E-3</v>
      </c>
      <c r="C236">
        <v>-2.3800000000000002E-2</v>
      </c>
      <c r="D236">
        <v>-3.7000000000000002E-3</v>
      </c>
      <c r="E236">
        <v>-9.2999999999999992E-3</v>
      </c>
      <c r="F236">
        <v>-1.1900000000000001E-2</v>
      </c>
      <c r="G236">
        <v>-2.0500000000000001E-2</v>
      </c>
      <c r="H236">
        <v>-2.1999999999999999E-2</v>
      </c>
      <c r="I236">
        <v>-2.47E-2</v>
      </c>
      <c r="J236">
        <v>-1.9900000000000001E-2</v>
      </c>
      <c r="K236">
        <v>-3.2599999999999997E-2</v>
      </c>
      <c r="L236">
        <v>-1.52E-2</v>
      </c>
      <c r="AI236">
        <v>-4.7000000000000002E-3</v>
      </c>
      <c r="AJ236">
        <v>-2.47E-2</v>
      </c>
      <c r="AK236">
        <v>4.4000000000000003E-3</v>
      </c>
    </row>
    <row r="237" spans="1:37" x14ac:dyDescent="0.35">
      <c r="A237" s="61">
        <v>45645</v>
      </c>
      <c r="B237">
        <v>-1.26E-2</v>
      </c>
      <c r="C237">
        <v>-1.7500000000000002E-2</v>
      </c>
      <c r="D237">
        <v>-1.5E-3</v>
      </c>
      <c r="E237">
        <v>2.58E-2</v>
      </c>
      <c r="F237">
        <v>-4.7000000000000002E-3</v>
      </c>
      <c r="G237">
        <v>-2.47E-2</v>
      </c>
      <c r="H237">
        <v>-1.24E-2</v>
      </c>
      <c r="I237">
        <v>-3.5000000000000001E-3</v>
      </c>
      <c r="J237">
        <v>4.4000000000000003E-3</v>
      </c>
      <c r="K237">
        <v>-1.5299999999999999E-2</v>
      </c>
      <c r="L237">
        <v>-1.0200000000000001E-2</v>
      </c>
      <c r="AI237">
        <v>-1.5599999999999999E-2</v>
      </c>
      <c r="AJ237">
        <v>-6.6E-3</v>
      </c>
      <c r="AK237">
        <v>-4.1999999999999997E-3</v>
      </c>
    </row>
    <row r="238" spans="1:37" x14ac:dyDescent="0.35">
      <c r="A238" s="61">
        <v>45644</v>
      </c>
      <c r="B238">
        <v>-6.7999999999999996E-3</v>
      </c>
      <c r="C238">
        <v>4.4999999999999997E-3</v>
      </c>
      <c r="D238">
        <v>-1.4800000000000001E-2</v>
      </c>
      <c r="E238">
        <v>1.5E-3</v>
      </c>
      <c r="F238">
        <v>-1.5599999999999999E-2</v>
      </c>
      <c r="G238">
        <v>-6.6E-3</v>
      </c>
      <c r="H238">
        <v>-1.0800000000000001E-2</v>
      </c>
      <c r="I238">
        <v>-1.52E-2</v>
      </c>
      <c r="J238">
        <v>-4.1999999999999997E-3</v>
      </c>
      <c r="K238">
        <v>-9.9000000000000008E-3</v>
      </c>
      <c r="L238">
        <v>-5.5999999999999999E-3</v>
      </c>
      <c r="AI238">
        <v>3.8E-3</v>
      </c>
      <c r="AJ238">
        <v>-0.01</v>
      </c>
      <c r="AK238">
        <v>-4.3E-3</v>
      </c>
    </row>
    <row r="239" spans="1:37" x14ac:dyDescent="0.35">
      <c r="A239" s="61">
        <v>45643</v>
      </c>
      <c r="B239">
        <v>-1.6E-2</v>
      </c>
      <c r="C239">
        <v>-1.9599999999999999E-2</v>
      </c>
      <c r="D239">
        <v>-4.1999999999999997E-3</v>
      </c>
      <c r="E239">
        <v>4.4000000000000003E-3</v>
      </c>
      <c r="F239">
        <v>3.8E-3</v>
      </c>
      <c r="G239">
        <v>-0.01</v>
      </c>
      <c r="H239">
        <v>-1.5299999999999999E-2</v>
      </c>
      <c r="I239">
        <v>-1.29E-2</v>
      </c>
      <c r="J239">
        <v>-4.3E-3</v>
      </c>
      <c r="K239">
        <v>-2.3E-2</v>
      </c>
      <c r="L239">
        <v>-1.35E-2</v>
      </c>
      <c r="AI239">
        <v>2.5600000000000001E-2</v>
      </c>
      <c r="AJ239">
        <v>-1.2500000000000001E-2</v>
      </c>
      <c r="AK239">
        <v>1.9599999999999999E-2</v>
      </c>
    </row>
    <row r="240" spans="1:37" x14ac:dyDescent="0.35">
      <c r="A240" s="61">
        <v>45642</v>
      </c>
      <c r="B240">
        <v>-6.4999999999999997E-3</v>
      </c>
      <c r="C240">
        <v>-1.3100000000000001E-2</v>
      </c>
      <c r="D240">
        <v>-8.6E-3</v>
      </c>
      <c r="E240">
        <v>4.7999999999999996E-3</v>
      </c>
      <c r="F240">
        <v>2.5600000000000001E-2</v>
      </c>
      <c r="G240">
        <v>-1.2500000000000001E-2</v>
      </c>
      <c r="H240">
        <v>-4.1999999999999997E-3</v>
      </c>
      <c r="I240">
        <v>-9.1000000000000004E-3</v>
      </c>
      <c r="J240">
        <v>1.9599999999999999E-2</v>
      </c>
      <c r="K240">
        <v>8.3000000000000001E-3</v>
      </c>
      <c r="L240">
        <v>-4.0000000000000001E-3</v>
      </c>
      <c r="AI240">
        <v>-1.4800000000000001E-2</v>
      </c>
      <c r="AJ240">
        <v>-6.0000000000000001E-3</v>
      </c>
      <c r="AK240">
        <v>-2.3E-3</v>
      </c>
    </row>
    <row r="241" spans="1:37" x14ac:dyDescent="0.35">
      <c r="A241" s="61">
        <v>45639</v>
      </c>
      <c r="B241">
        <v>1.32E-2</v>
      </c>
      <c r="C241">
        <v>4.3E-3</v>
      </c>
      <c r="D241">
        <v>3.7000000000000002E-3</v>
      </c>
      <c r="E241">
        <v>5.4000000000000003E-3</v>
      </c>
      <c r="F241">
        <v>-1.4800000000000001E-2</v>
      </c>
      <c r="G241">
        <v>-6.0000000000000001E-3</v>
      </c>
      <c r="H241">
        <v>-2.3999999999999998E-3</v>
      </c>
      <c r="I241">
        <v>1.7100000000000001E-2</v>
      </c>
      <c r="J241">
        <v>-2.3E-3</v>
      </c>
      <c r="K241">
        <v>-5.4999999999999997E-3</v>
      </c>
      <c r="L241">
        <v>8.8999999999999999E-3</v>
      </c>
      <c r="AI241">
        <v>-1.3599999999999999E-2</v>
      </c>
      <c r="AJ241">
        <v>3.9699999999999999E-2</v>
      </c>
      <c r="AK241">
        <v>-1.6999999999999999E-3</v>
      </c>
    </row>
    <row r="242" spans="1:37" x14ac:dyDescent="0.35">
      <c r="A242" s="61">
        <v>45638</v>
      </c>
      <c r="B242">
        <v>-7.6E-3</v>
      </c>
      <c r="C242">
        <v>6.1999999999999998E-3</v>
      </c>
      <c r="D242">
        <v>-1.0999999999999999E-2</v>
      </c>
      <c r="E242">
        <v>-1.3899999999999999E-2</v>
      </c>
      <c r="F242">
        <v>-1.3599999999999999E-2</v>
      </c>
      <c r="G242">
        <v>3.9699999999999999E-2</v>
      </c>
      <c r="H242">
        <v>-1.49E-2</v>
      </c>
      <c r="I242">
        <v>-2.0899999999999998E-2</v>
      </c>
      <c r="J242">
        <v>-1.6999999999999999E-3</v>
      </c>
      <c r="K242">
        <v>6.1000000000000004E-3</v>
      </c>
      <c r="L242">
        <v>-3.8E-3</v>
      </c>
      <c r="AI242">
        <v>-5.4999999999999997E-3</v>
      </c>
      <c r="AJ242">
        <v>-1.43E-2</v>
      </c>
      <c r="AK242">
        <v>-1.4E-3</v>
      </c>
    </row>
    <row r="243" spans="1:37" x14ac:dyDescent="0.35">
      <c r="A243" s="61">
        <v>45637</v>
      </c>
      <c r="B243">
        <v>1.2E-2</v>
      </c>
      <c r="C243">
        <v>-1.1999999999999999E-3</v>
      </c>
      <c r="D243">
        <v>-9.9000000000000008E-3</v>
      </c>
      <c r="E243">
        <v>7.4000000000000003E-3</v>
      </c>
      <c r="F243">
        <v>-5.4999999999999997E-3</v>
      </c>
      <c r="G243">
        <v>-1.43E-2</v>
      </c>
      <c r="H243">
        <v>2.1499999999999998E-2</v>
      </c>
      <c r="I243">
        <v>-3.0599999999999999E-2</v>
      </c>
      <c r="J243">
        <v>-1.4E-3</v>
      </c>
      <c r="K243">
        <v>3.6499999999999998E-2</v>
      </c>
      <c r="L243">
        <v>1.2999999999999999E-3</v>
      </c>
      <c r="AI243">
        <v>3.7000000000000002E-3</v>
      </c>
      <c r="AJ243">
        <v>-1.7000000000000001E-2</v>
      </c>
      <c r="AK243">
        <v>1.8100000000000002E-2</v>
      </c>
    </row>
    <row r="244" spans="1:37" x14ac:dyDescent="0.35">
      <c r="A244" s="61">
        <v>45636</v>
      </c>
      <c r="B244">
        <v>-6.4999999999999997E-3</v>
      </c>
      <c r="C244">
        <v>-4.4000000000000003E-3</v>
      </c>
      <c r="D244">
        <v>-3.8699999999999998E-2</v>
      </c>
      <c r="E244">
        <v>4.3E-3</v>
      </c>
      <c r="F244">
        <v>3.7000000000000002E-3</v>
      </c>
      <c r="G244">
        <v>-1.7000000000000001E-2</v>
      </c>
      <c r="H244">
        <v>-1.5900000000000001E-2</v>
      </c>
      <c r="I244">
        <v>5.62E-2</v>
      </c>
      <c r="J244">
        <v>1.8100000000000002E-2</v>
      </c>
      <c r="K244">
        <v>-5.7000000000000002E-3</v>
      </c>
      <c r="L244">
        <v>-4.0000000000000002E-4</v>
      </c>
      <c r="AI244">
        <v>-1.7100000000000001E-2</v>
      </c>
      <c r="AJ244">
        <v>-4.0000000000000002E-4</v>
      </c>
      <c r="AK244">
        <v>-5.0000000000000001E-3</v>
      </c>
    </row>
    <row r="245" spans="1:37" x14ac:dyDescent="0.35">
      <c r="A245" s="61">
        <v>45635</v>
      </c>
      <c r="B245">
        <v>-1.72E-2</v>
      </c>
      <c r="C245">
        <v>1.5E-3</v>
      </c>
      <c r="D245">
        <v>3.2000000000000002E-3</v>
      </c>
      <c r="E245">
        <v>1E-3</v>
      </c>
      <c r="F245">
        <v>-1.7100000000000001E-2</v>
      </c>
      <c r="G245">
        <v>-4.0000000000000002E-4</v>
      </c>
      <c r="H245">
        <v>-6.8999999999999999E-3</v>
      </c>
      <c r="I245">
        <v>-2.5499999999999998E-2</v>
      </c>
      <c r="J245">
        <v>-5.0000000000000001E-3</v>
      </c>
      <c r="K245">
        <v>-1.5E-3</v>
      </c>
      <c r="L245">
        <v>-2.3999999999999998E-3</v>
      </c>
      <c r="AI245">
        <v>-1.04E-2</v>
      </c>
      <c r="AJ245">
        <v>-2.5000000000000001E-3</v>
      </c>
      <c r="AK245">
        <v>-7.1000000000000004E-3</v>
      </c>
    </row>
    <row r="246" spans="1:37" x14ac:dyDescent="0.35">
      <c r="A246" s="61">
        <v>45632</v>
      </c>
      <c r="B246">
        <v>1E-3</v>
      </c>
      <c r="C246">
        <v>-4.1999999999999997E-3</v>
      </c>
      <c r="D246">
        <v>6.4999999999999997E-3</v>
      </c>
      <c r="E246">
        <v>-8.6E-3</v>
      </c>
      <c r="F246">
        <v>-1.04E-2</v>
      </c>
      <c r="G246">
        <v>-2.5000000000000001E-3</v>
      </c>
      <c r="H246">
        <v>1.8800000000000001E-2</v>
      </c>
      <c r="I246">
        <v>1.3899999999999999E-2</v>
      </c>
      <c r="J246">
        <v>-7.1000000000000004E-3</v>
      </c>
      <c r="K246">
        <v>-9.7000000000000003E-3</v>
      </c>
      <c r="L246">
        <v>-1.1999999999999999E-3</v>
      </c>
      <c r="AI246">
        <v>3.0999999999999999E-3</v>
      </c>
      <c r="AJ246">
        <v>-2.0000000000000001E-4</v>
      </c>
      <c r="AK246">
        <v>-8.9999999999999998E-4</v>
      </c>
    </row>
    <row r="247" spans="1:37" x14ac:dyDescent="0.35">
      <c r="A247" s="61">
        <v>45631</v>
      </c>
      <c r="B247">
        <v>3.3999999999999998E-3</v>
      </c>
      <c r="C247">
        <v>2.52E-2</v>
      </c>
      <c r="D247">
        <v>5.7000000000000002E-3</v>
      </c>
      <c r="E247">
        <v>2.5999999999999999E-3</v>
      </c>
      <c r="F247">
        <v>3.0999999999999999E-3</v>
      </c>
      <c r="G247">
        <v>-2.0000000000000001E-4</v>
      </c>
      <c r="H247">
        <v>-1.2500000000000001E-2</v>
      </c>
      <c r="I247">
        <v>0</v>
      </c>
      <c r="J247">
        <v>-8.9999999999999998E-4</v>
      </c>
      <c r="K247">
        <v>2.7000000000000001E-3</v>
      </c>
      <c r="L247">
        <v>9.7999999999999997E-3</v>
      </c>
      <c r="AI247">
        <v>1.24E-2</v>
      </c>
      <c r="AJ247">
        <v>-1.2200000000000001E-2</v>
      </c>
      <c r="AK247">
        <v>-8.6E-3</v>
      </c>
    </row>
    <row r="248" spans="1:37" x14ac:dyDescent="0.35">
      <c r="A248" s="61">
        <v>45630</v>
      </c>
      <c r="B248">
        <v>-1.6999999999999999E-3</v>
      </c>
      <c r="C248">
        <v>1.2E-2</v>
      </c>
      <c r="D248">
        <v>1.6000000000000001E-3</v>
      </c>
      <c r="E248">
        <v>-3.0999999999999999E-3</v>
      </c>
      <c r="F248">
        <v>1.24E-2</v>
      </c>
      <c r="G248">
        <v>-1.2200000000000001E-2</v>
      </c>
      <c r="H248">
        <v>-4.0000000000000002E-4</v>
      </c>
      <c r="I248">
        <v>1.6E-2</v>
      </c>
      <c r="J248">
        <v>-8.6E-3</v>
      </c>
      <c r="K248">
        <v>-3.8999999999999998E-3</v>
      </c>
      <c r="L248">
        <v>4.0000000000000002E-4</v>
      </c>
      <c r="AI248">
        <v>-1.6899999999999998E-2</v>
      </c>
      <c r="AJ248">
        <v>-8.6E-3</v>
      </c>
      <c r="AK248">
        <v>-1.1599999999999999E-2</v>
      </c>
    </row>
    <row r="249" spans="1:37" x14ac:dyDescent="0.35">
      <c r="A249" s="61">
        <v>45629</v>
      </c>
      <c r="B249">
        <v>4.4000000000000003E-3</v>
      </c>
      <c r="C249">
        <v>6.1000000000000004E-3</v>
      </c>
      <c r="D249">
        <v>-1.43E-2</v>
      </c>
      <c r="E249">
        <v>7.1999999999999998E-3</v>
      </c>
      <c r="F249">
        <v>-1.6899999999999998E-2</v>
      </c>
      <c r="G249">
        <v>-8.6E-3</v>
      </c>
      <c r="H249">
        <v>8.6E-3</v>
      </c>
      <c r="I249">
        <v>2.7099999999999999E-2</v>
      </c>
      <c r="J249">
        <v>-1.1599999999999999E-2</v>
      </c>
      <c r="K249">
        <v>8.8000000000000005E-3</v>
      </c>
      <c r="L249">
        <v>7.4999999999999997E-3</v>
      </c>
      <c r="AI249">
        <v>-1.8599999999999998E-2</v>
      </c>
      <c r="AJ249">
        <v>-1.06E-2</v>
      </c>
      <c r="AK249">
        <v>1.6999999999999999E-3</v>
      </c>
    </row>
    <row r="250" spans="1:37" x14ac:dyDescent="0.35">
      <c r="A250" s="61">
        <v>45628</v>
      </c>
      <c r="B250">
        <v>7.7000000000000002E-3</v>
      </c>
      <c r="C250">
        <v>1.4E-3</v>
      </c>
      <c r="D250">
        <v>-1.6999999999999999E-3</v>
      </c>
      <c r="E250">
        <v>4.4999999999999997E-3</v>
      </c>
      <c r="F250">
        <v>-1.8599999999999998E-2</v>
      </c>
      <c r="G250">
        <v>-1.06E-2</v>
      </c>
      <c r="H250">
        <v>-3.5000000000000001E-3</v>
      </c>
      <c r="I250">
        <v>7.1999999999999998E-3</v>
      </c>
      <c r="J250">
        <v>1.6999999999999999E-3</v>
      </c>
      <c r="K250">
        <v>2.1100000000000001E-2</v>
      </c>
      <c r="L250">
        <v>6.0000000000000001E-3</v>
      </c>
      <c r="AI250">
        <v>7.3000000000000001E-3</v>
      </c>
      <c r="AJ250">
        <v>-1.11E-2</v>
      </c>
      <c r="AK250">
        <v>2.3699999999999999E-2</v>
      </c>
    </row>
    <row r="251" spans="1:37" x14ac:dyDescent="0.35">
      <c r="A251" s="61">
        <v>45625</v>
      </c>
      <c r="B251">
        <v>-6.9999999999999999E-4</v>
      </c>
      <c r="C251">
        <v>6.1000000000000004E-3</v>
      </c>
      <c r="D251">
        <v>0.05</v>
      </c>
      <c r="E251">
        <v>3.7900000000000003E-2</v>
      </c>
      <c r="F251">
        <v>7.3000000000000001E-3</v>
      </c>
      <c r="G251">
        <v>-1.11E-2</v>
      </c>
      <c r="H251">
        <v>2.1399999999999999E-2</v>
      </c>
      <c r="I251">
        <v>7.9000000000000008E-3</v>
      </c>
      <c r="J251">
        <v>2.3699999999999999E-2</v>
      </c>
      <c r="K251">
        <v>5.7000000000000002E-3</v>
      </c>
      <c r="L251">
        <v>9.1000000000000004E-3</v>
      </c>
      <c r="AI251">
        <v>-2.5000000000000001E-3</v>
      </c>
      <c r="AJ251">
        <v>7.2599999999999998E-2</v>
      </c>
      <c r="AK251">
        <v>5.3E-3</v>
      </c>
    </row>
    <row r="252" spans="1:37" x14ac:dyDescent="0.35">
      <c r="A252" s="61">
        <v>45624</v>
      </c>
      <c r="B252">
        <v>-1.66E-2</v>
      </c>
      <c r="C252">
        <v>-2.0199999999999999E-2</v>
      </c>
      <c r="D252">
        <v>2.4299999999999999E-2</v>
      </c>
      <c r="E252">
        <v>-6.7000000000000002E-3</v>
      </c>
      <c r="F252">
        <v>-2.5000000000000001E-3</v>
      </c>
      <c r="G252">
        <v>7.2599999999999998E-2</v>
      </c>
      <c r="H252">
        <v>-1.18E-2</v>
      </c>
      <c r="I252">
        <v>1.4500000000000001E-2</v>
      </c>
      <c r="J252">
        <v>5.3E-3</v>
      </c>
      <c r="K252">
        <v>-1.0200000000000001E-2</v>
      </c>
      <c r="L252">
        <v>-1.49E-2</v>
      </c>
      <c r="AI252">
        <v>1.46E-2</v>
      </c>
      <c r="AJ252">
        <v>0.1951</v>
      </c>
      <c r="AK252">
        <v>2.5000000000000001E-2</v>
      </c>
    </row>
    <row r="253" spans="1:37" x14ac:dyDescent="0.35">
      <c r="A253" s="61">
        <v>45623</v>
      </c>
      <c r="B253">
        <v>3.8E-3</v>
      </c>
      <c r="C253">
        <v>-4.5999999999999999E-3</v>
      </c>
      <c r="D253">
        <v>0.01</v>
      </c>
      <c r="E253">
        <v>-2.9999999999999997E-4</v>
      </c>
      <c r="F253">
        <v>1.46E-2</v>
      </c>
      <c r="G253">
        <v>0.1951</v>
      </c>
      <c r="H253">
        <v>1.11E-2</v>
      </c>
      <c r="I253">
        <v>1.11E-2</v>
      </c>
      <c r="J253">
        <v>2.5000000000000001E-2</v>
      </c>
      <c r="K253">
        <v>-1.1999999999999999E-3</v>
      </c>
      <c r="L253">
        <v>3.3E-3</v>
      </c>
      <c r="AI253">
        <v>1.44E-2</v>
      </c>
      <c r="AJ253">
        <v>-2.0199999999999999E-2</v>
      </c>
      <c r="AK253">
        <v>-1.8100000000000002E-2</v>
      </c>
    </row>
    <row r="254" spans="1:37" x14ac:dyDescent="0.35">
      <c r="A254" s="61">
        <v>45622</v>
      </c>
      <c r="B254">
        <v>3.7000000000000002E-3</v>
      </c>
      <c r="C254">
        <v>8.6999999999999994E-3</v>
      </c>
      <c r="D254">
        <v>2.3999999999999998E-3</v>
      </c>
      <c r="E254">
        <v>-1.26E-2</v>
      </c>
      <c r="F254">
        <v>1.44E-2</v>
      </c>
      <c r="G254">
        <v>-2.0199999999999999E-2</v>
      </c>
      <c r="H254">
        <v>-8.0999999999999996E-3</v>
      </c>
      <c r="I254">
        <v>1.23E-2</v>
      </c>
      <c r="J254">
        <v>-1.8100000000000002E-2</v>
      </c>
      <c r="K254">
        <v>-1.0699999999999999E-2</v>
      </c>
      <c r="L254">
        <v>-1.1000000000000001E-3</v>
      </c>
      <c r="AI254">
        <v>1.26E-2</v>
      </c>
      <c r="AJ254">
        <v>-0.03</v>
      </c>
      <c r="AK254">
        <v>3.8300000000000001E-2</v>
      </c>
    </row>
    <row r="255" spans="1:37" x14ac:dyDescent="0.35">
      <c r="A255" s="61">
        <v>45621</v>
      </c>
      <c r="B255">
        <v>4.3E-3</v>
      </c>
      <c r="C255">
        <v>1.66E-2</v>
      </c>
      <c r="D255">
        <v>1.7500000000000002E-2</v>
      </c>
      <c r="E255">
        <v>3.1399999999999997E-2</v>
      </c>
      <c r="F255">
        <v>1.26E-2</v>
      </c>
      <c r="G255">
        <v>-0.03</v>
      </c>
      <c r="H255">
        <v>1.89E-2</v>
      </c>
      <c r="I255">
        <v>4.1000000000000003E-3</v>
      </c>
      <c r="J255">
        <v>3.8300000000000001E-2</v>
      </c>
      <c r="K255">
        <v>2.64E-2</v>
      </c>
      <c r="L255">
        <v>1.32E-2</v>
      </c>
      <c r="AI255">
        <v>2.5000000000000001E-3</v>
      </c>
      <c r="AJ255">
        <v>-3.3000000000000002E-2</v>
      </c>
      <c r="AK255">
        <v>-1.8599999999999998E-2</v>
      </c>
    </row>
    <row r="256" spans="1:37" x14ac:dyDescent="0.35">
      <c r="A256" s="61">
        <v>45618</v>
      </c>
      <c r="B256">
        <v>1.6299999999999999E-2</v>
      </c>
      <c r="C256">
        <v>4.2200000000000001E-2</v>
      </c>
      <c r="D256">
        <v>8.6E-3</v>
      </c>
      <c r="E256">
        <v>2.1000000000000001E-2</v>
      </c>
      <c r="F256">
        <v>2.5000000000000001E-3</v>
      </c>
      <c r="G256">
        <v>-3.3000000000000002E-2</v>
      </c>
      <c r="H256">
        <v>4.4999999999999997E-3</v>
      </c>
      <c r="I256">
        <v>1.44E-2</v>
      </c>
      <c r="J256">
        <v>-1.8599999999999998E-2</v>
      </c>
      <c r="K256">
        <v>1.55E-2</v>
      </c>
      <c r="L256">
        <v>2.3900000000000001E-2</v>
      </c>
      <c r="AI256">
        <v>-2.3E-3</v>
      </c>
      <c r="AJ256">
        <v>-9.1499999999999998E-2</v>
      </c>
      <c r="AK256">
        <v>-4.82E-2</v>
      </c>
    </row>
    <row r="257" spans="1:37" x14ac:dyDescent="0.35">
      <c r="A257" s="61">
        <v>45617</v>
      </c>
      <c r="B257">
        <v>-1.2999999999999999E-3</v>
      </c>
      <c r="C257">
        <v>8.2000000000000007E-3</v>
      </c>
      <c r="D257">
        <v>-1.6400000000000001E-2</v>
      </c>
      <c r="E257">
        <v>2.3E-3</v>
      </c>
      <c r="F257">
        <v>-2.3E-3</v>
      </c>
      <c r="G257">
        <v>-9.1499999999999998E-2</v>
      </c>
      <c r="H257">
        <v>-1.04E-2</v>
      </c>
      <c r="I257">
        <v>-1.4200000000000001E-2</v>
      </c>
      <c r="J257">
        <v>-4.82E-2</v>
      </c>
      <c r="K257">
        <v>-1.4500000000000001E-2</v>
      </c>
      <c r="L257">
        <v>-7.1999999999999998E-3</v>
      </c>
      <c r="AI257">
        <v>5.7799999999999997E-2</v>
      </c>
      <c r="AJ257">
        <v>-5.1999999999999998E-3</v>
      </c>
      <c r="AK257">
        <v>6.1999999999999998E-3</v>
      </c>
    </row>
    <row r="258" spans="1:37" x14ac:dyDescent="0.35">
      <c r="A258" s="61">
        <v>45615</v>
      </c>
      <c r="B258">
        <v>4.0000000000000002E-4</v>
      </c>
      <c r="C258">
        <v>5.0000000000000001E-3</v>
      </c>
      <c r="D258">
        <v>-5.7000000000000002E-3</v>
      </c>
      <c r="E258">
        <v>-3.5000000000000001E-3</v>
      </c>
      <c r="F258">
        <v>5.7799999999999997E-2</v>
      </c>
      <c r="G258">
        <v>-5.1999999999999998E-3</v>
      </c>
      <c r="H258">
        <v>-8.5000000000000006E-3</v>
      </c>
      <c r="I258">
        <v>-5.4000000000000003E-3</v>
      </c>
      <c r="J258">
        <v>6.1999999999999998E-3</v>
      </c>
      <c r="K258">
        <v>5.4000000000000003E-3</v>
      </c>
      <c r="L258">
        <v>2.8E-3</v>
      </c>
      <c r="AI258">
        <v>-2.0400000000000001E-2</v>
      </c>
      <c r="AJ258">
        <v>-4.0500000000000001E-2</v>
      </c>
      <c r="AK258">
        <v>-1.4E-3</v>
      </c>
    </row>
    <row r="259" spans="1:37" x14ac:dyDescent="0.35">
      <c r="A259" s="61">
        <v>45614</v>
      </c>
      <c r="B259">
        <v>1.3899999999999999E-2</v>
      </c>
      <c r="C259">
        <v>-3.0499999999999999E-2</v>
      </c>
      <c r="D259">
        <v>-7.6E-3</v>
      </c>
      <c r="E259">
        <v>1E-3</v>
      </c>
      <c r="F259">
        <v>-2.0400000000000001E-2</v>
      </c>
      <c r="G259">
        <v>-4.0500000000000001E-2</v>
      </c>
      <c r="H259">
        <v>2E-3</v>
      </c>
      <c r="I259">
        <v>1.4500000000000001E-2</v>
      </c>
      <c r="J259">
        <v>-1.4E-3</v>
      </c>
      <c r="K259">
        <v>-1.29E-2</v>
      </c>
      <c r="L259">
        <v>-3.3999999999999998E-3</v>
      </c>
      <c r="AI259">
        <v>1.4800000000000001E-2</v>
      </c>
      <c r="AJ259">
        <v>3.8E-3</v>
      </c>
      <c r="AK259">
        <v>-4.8999999999999998E-3</v>
      </c>
    </row>
    <row r="260" spans="1:37" x14ac:dyDescent="0.35">
      <c r="A260" s="61">
        <v>45610</v>
      </c>
      <c r="B260">
        <v>-2.35E-2</v>
      </c>
      <c r="C260">
        <v>-1.1000000000000001E-3</v>
      </c>
      <c r="D260">
        <v>1.2E-2</v>
      </c>
      <c r="E260">
        <v>-4.5999999999999999E-3</v>
      </c>
      <c r="F260">
        <v>1.4800000000000001E-2</v>
      </c>
      <c r="G260">
        <v>3.8E-3</v>
      </c>
      <c r="H260">
        <v>1.9900000000000001E-2</v>
      </c>
      <c r="I260">
        <v>5.1000000000000004E-3</v>
      </c>
      <c r="J260">
        <v>-4.8999999999999998E-3</v>
      </c>
      <c r="K260">
        <v>2.8E-3</v>
      </c>
      <c r="L260">
        <v>-1.1000000000000001E-3</v>
      </c>
      <c r="AI260">
        <v>-3.5499999999999997E-2</v>
      </c>
      <c r="AJ260">
        <v>-1.9599999999999999E-2</v>
      </c>
      <c r="AK260">
        <v>-7.3000000000000001E-3</v>
      </c>
    </row>
    <row r="261" spans="1:37" x14ac:dyDescent="0.35">
      <c r="A261" s="61">
        <v>45609</v>
      </c>
      <c r="B261">
        <v>-9.2999999999999992E-3</v>
      </c>
      <c r="C261">
        <v>-1.12E-2</v>
      </c>
      <c r="D261">
        <v>-2.52E-2</v>
      </c>
      <c r="E261">
        <v>-1.09E-2</v>
      </c>
      <c r="F261">
        <v>-3.5499999999999997E-2</v>
      </c>
      <c r="G261">
        <v>-1.9599999999999999E-2</v>
      </c>
      <c r="H261">
        <v>-0.03</v>
      </c>
      <c r="I261">
        <v>-2.0799999999999999E-2</v>
      </c>
      <c r="J261">
        <v>-7.3000000000000001E-3</v>
      </c>
      <c r="K261">
        <v>-8.3000000000000001E-3</v>
      </c>
      <c r="L261">
        <v>-1.3599999999999999E-2</v>
      </c>
      <c r="AI261">
        <v>-9.9000000000000008E-3</v>
      </c>
      <c r="AJ261">
        <v>-3.6299999999999999E-2</v>
      </c>
      <c r="AK261">
        <v>-2.8500000000000001E-2</v>
      </c>
    </row>
    <row r="262" spans="1:37" x14ac:dyDescent="0.35">
      <c r="A262" s="61">
        <v>45608</v>
      </c>
      <c r="B262">
        <v>-0.01</v>
      </c>
      <c r="C262">
        <v>-2.9999999999999997E-4</v>
      </c>
      <c r="D262">
        <v>2.8999999999999998E-3</v>
      </c>
      <c r="E262">
        <v>-2.0000000000000001E-4</v>
      </c>
      <c r="F262">
        <v>-9.9000000000000008E-3</v>
      </c>
      <c r="G262">
        <v>-3.6299999999999999E-2</v>
      </c>
      <c r="H262">
        <v>-1.0699999999999999E-2</v>
      </c>
      <c r="I262">
        <v>-3.4200000000000001E-2</v>
      </c>
      <c r="J262">
        <v>-2.8500000000000001E-2</v>
      </c>
      <c r="K262">
        <v>-4.7000000000000002E-3</v>
      </c>
      <c r="L262">
        <v>-1.0699999999999999E-2</v>
      </c>
      <c r="AI262">
        <v>-9.7999999999999997E-3</v>
      </c>
      <c r="AJ262">
        <v>-1.7100000000000001E-2</v>
      </c>
      <c r="AK262">
        <v>-5.3E-3</v>
      </c>
    </row>
    <row r="263" spans="1:37" x14ac:dyDescent="0.35">
      <c r="A263" s="61">
        <v>45607</v>
      </c>
      <c r="B263">
        <v>-7.1999999999999998E-3</v>
      </c>
      <c r="C263">
        <v>1.2500000000000001E-2</v>
      </c>
      <c r="D263">
        <v>4.1999999999999997E-3</v>
      </c>
      <c r="E263">
        <v>-1.5100000000000001E-2</v>
      </c>
      <c r="F263">
        <v>-9.7999999999999997E-3</v>
      </c>
      <c r="G263">
        <v>-1.7100000000000001E-2</v>
      </c>
      <c r="H263">
        <v>-2.9999999999999997E-4</v>
      </c>
      <c r="I263">
        <v>-1.18E-2</v>
      </c>
      <c r="J263">
        <v>-5.3E-3</v>
      </c>
      <c r="K263">
        <v>-3.8E-3</v>
      </c>
      <c r="L263">
        <v>-2.9999999999999997E-4</v>
      </c>
      <c r="AI263">
        <v>3.5000000000000001E-3</v>
      </c>
      <c r="AJ263">
        <v>-1.78E-2</v>
      </c>
      <c r="AK263">
        <v>-1.6999999999999999E-3</v>
      </c>
    </row>
    <row r="264" spans="1:37" x14ac:dyDescent="0.35">
      <c r="A264" s="61">
        <v>45604</v>
      </c>
      <c r="B264">
        <v>1.4500000000000001E-2</v>
      </c>
      <c r="C264">
        <v>-8.9999999999999998E-4</v>
      </c>
      <c r="D264">
        <v>-1.6199999999999999E-2</v>
      </c>
      <c r="E264">
        <v>1.17E-2</v>
      </c>
      <c r="F264">
        <v>3.5000000000000001E-3</v>
      </c>
      <c r="G264">
        <v>-1.78E-2</v>
      </c>
      <c r="H264">
        <v>-2.7000000000000001E-3</v>
      </c>
      <c r="I264">
        <v>-1.5299999999999999E-2</v>
      </c>
      <c r="J264">
        <v>-1.6999999999999999E-3</v>
      </c>
      <c r="K264">
        <v>-1.72E-2</v>
      </c>
      <c r="L264">
        <v>-2.0999999999999999E-3</v>
      </c>
      <c r="AI264">
        <v>-1.0699999999999999E-2</v>
      </c>
      <c r="AJ264">
        <v>-2.7E-2</v>
      </c>
      <c r="AK264">
        <v>-3.5700000000000003E-2</v>
      </c>
    </row>
    <row r="265" spans="1:37" x14ac:dyDescent="0.35">
      <c r="A265" s="61">
        <v>45603</v>
      </c>
      <c r="B265">
        <v>-5.5999999999999999E-3</v>
      </c>
      <c r="C265">
        <v>2.7000000000000001E-3</v>
      </c>
      <c r="D265">
        <v>-1.6500000000000001E-2</v>
      </c>
      <c r="E265">
        <v>-1.46E-2</v>
      </c>
      <c r="F265">
        <v>-1.0699999999999999E-2</v>
      </c>
      <c r="G265">
        <v>-2.7E-2</v>
      </c>
      <c r="H265">
        <v>-1.0699999999999999E-2</v>
      </c>
      <c r="I265">
        <v>-1.66E-2</v>
      </c>
      <c r="J265">
        <v>-3.5700000000000003E-2</v>
      </c>
      <c r="K265">
        <v>-1.8E-3</v>
      </c>
      <c r="L265">
        <v>-1.1599999999999999E-2</v>
      </c>
      <c r="AI265">
        <v>1.38E-2</v>
      </c>
      <c r="AJ265">
        <v>2.1299999999999999E-2</v>
      </c>
      <c r="AK265">
        <v>1.34E-2</v>
      </c>
    </row>
    <row r="266" spans="1:37" x14ac:dyDescent="0.35">
      <c r="A266" s="61">
        <v>45602</v>
      </c>
      <c r="B266">
        <v>5.7999999999999996E-3</v>
      </c>
      <c r="C266">
        <v>4.24E-2</v>
      </c>
      <c r="D266">
        <v>1.7899999999999999E-2</v>
      </c>
      <c r="E266">
        <v>8.0999999999999996E-3</v>
      </c>
      <c r="F266">
        <v>1.38E-2</v>
      </c>
      <c r="G266">
        <v>2.1299999999999999E-2</v>
      </c>
      <c r="H266">
        <v>-8.3199999999999996E-2</v>
      </c>
      <c r="I266">
        <v>-1.5599999999999999E-2</v>
      </c>
      <c r="J266">
        <v>1.34E-2</v>
      </c>
      <c r="K266">
        <v>3.0200000000000001E-2</v>
      </c>
      <c r="L266">
        <v>1.12E-2</v>
      </c>
      <c r="AI266">
        <v>7.6E-3</v>
      </c>
      <c r="AJ266">
        <v>3.15E-2</v>
      </c>
      <c r="AK266">
        <v>4.1999999999999997E-3</v>
      </c>
    </row>
    <row r="267" spans="1:37" x14ac:dyDescent="0.35">
      <c r="A267" s="61">
        <v>45601</v>
      </c>
      <c r="B267">
        <v>7.1999999999999998E-3</v>
      </c>
      <c r="C267">
        <v>1.8E-3</v>
      </c>
      <c r="D267">
        <v>5.3E-3</v>
      </c>
      <c r="E267">
        <v>-5.1000000000000004E-3</v>
      </c>
      <c r="F267">
        <v>7.6E-3</v>
      </c>
      <c r="G267">
        <v>3.15E-2</v>
      </c>
      <c r="H267">
        <v>2.9100000000000001E-2</v>
      </c>
      <c r="I267">
        <v>-2.3400000000000001E-2</v>
      </c>
      <c r="J267">
        <v>4.1999999999999997E-3</v>
      </c>
      <c r="K267">
        <v>5.5999999999999999E-3</v>
      </c>
      <c r="L267">
        <v>9.1000000000000004E-3</v>
      </c>
      <c r="AI267">
        <v>-9.7000000000000003E-3</v>
      </c>
      <c r="AJ267">
        <v>-2.07E-2</v>
      </c>
      <c r="AK267">
        <v>-2.18E-2</v>
      </c>
    </row>
    <row r="268" spans="1:37" x14ac:dyDescent="0.35">
      <c r="A268" s="61">
        <v>45600</v>
      </c>
      <c r="B268">
        <v>-1.5800000000000002E-2</v>
      </c>
      <c r="C268">
        <v>-5.0000000000000001E-3</v>
      </c>
      <c r="D268">
        <v>-7.1000000000000004E-3</v>
      </c>
      <c r="E268">
        <v>-1.5E-3</v>
      </c>
      <c r="F268">
        <v>-9.7000000000000003E-3</v>
      </c>
      <c r="G268">
        <v>-2.07E-2</v>
      </c>
      <c r="H268">
        <v>-2.5899999999999999E-2</v>
      </c>
      <c r="I268">
        <v>3.4700000000000002E-2</v>
      </c>
      <c r="J268">
        <v>-2.18E-2</v>
      </c>
      <c r="K268">
        <v>-2.4799999999999999E-2</v>
      </c>
      <c r="L268">
        <v>-1.2699999999999999E-2</v>
      </c>
      <c r="AI268">
        <v>5.3E-3</v>
      </c>
      <c r="AJ268">
        <v>7.7999999999999996E-3</v>
      </c>
      <c r="AK268">
        <v>1.1000000000000001E-3</v>
      </c>
    </row>
    <row r="269" spans="1:37" x14ac:dyDescent="0.35">
      <c r="A269" s="61">
        <v>45597</v>
      </c>
      <c r="B269">
        <v>8.6E-3</v>
      </c>
      <c r="C269">
        <v>4.0000000000000001E-3</v>
      </c>
      <c r="D269">
        <v>7.9000000000000008E-3</v>
      </c>
      <c r="E269">
        <v>8.0000000000000004E-4</v>
      </c>
      <c r="F269">
        <v>5.3E-3</v>
      </c>
      <c r="G269">
        <v>7.7999999999999996E-3</v>
      </c>
      <c r="H269">
        <v>9.1000000000000004E-3</v>
      </c>
      <c r="I269">
        <v>2.8E-3</v>
      </c>
      <c r="J269">
        <v>1.1000000000000001E-3</v>
      </c>
      <c r="K269">
        <v>9.1000000000000004E-3</v>
      </c>
      <c r="L269">
        <v>4.1000000000000003E-3</v>
      </c>
      <c r="AI269">
        <v>-5.1999999999999998E-3</v>
      </c>
      <c r="AJ269">
        <v>1.1000000000000001E-3</v>
      </c>
      <c r="AK269">
        <v>8.0000000000000002E-3</v>
      </c>
    </row>
    <row r="270" spans="1:37" x14ac:dyDescent="0.35">
      <c r="A270" s="61">
        <v>45596</v>
      </c>
      <c r="B270">
        <v>-5.8999999999999999E-3</v>
      </c>
      <c r="C270">
        <v>-2.8400000000000002E-2</v>
      </c>
      <c r="D270">
        <v>-1.2699999999999999E-2</v>
      </c>
      <c r="E270">
        <v>2.07E-2</v>
      </c>
      <c r="F270">
        <v>-5.1999999999999998E-3</v>
      </c>
      <c r="G270">
        <v>1.1000000000000001E-3</v>
      </c>
      <c r="H270">
        <v>-1.2800000000000001E-2</v>
      </c>
      <c r="I270">
        <v>7.7299999999999994E-2</v>
      </c>
      <c r="J270">
        <v>8.0000000000000002E-3</v>
      </c>
      <c r="K270">
        <v>-7.0000000000000001E-3</v>
      </c>
      <c r="L270">
        <v>-5.5999999999999999E-3</v>
      </c>
      <c r="AI270">
        <v>4.1799999999999997E-2</v>
      </c>
      <c r="AJ270">
        <v>-4.0000000000000002E-4</v>
      </c>
      <c r="AK270">
        <v>4.8599999999999997E-2</v>
      </c>
    </row>
    <row r="271" spans="1:37" x14ac:dyDescent="0.35">
      <c r="A271" s="61">
        <v>45595</v>
      </c>
      <c r="B271">
        <v>3.8999999999999998E-3</v>
      </c>
      <c r="C271">
        <v>2.3E-3</v>
      </c>
      <c r="D271">
        <v>5.9999999999999995E-4</v>
      </c>
      <c r="E271">
        <v>-2.4199999999999999E-2</v>
      </c>
      <c r="F271">
        <v>4.1799999999999997E-2</v>
      </c>
      <c r="G271">
        <v>-4.0000000000000002E-4</v>
      </c>
      <c r="H271">
        <v>1.8599999999999998E-2</v>
      </c>
      <c r="I271">
        <v>2.2100000000000002E-2</v>
      </c>
      <c r="J271">
        <v>4.8599999999999997E-2</v>
      </c>
      <c r="K271">
        <v>1.6999999999999999E-3</v>
      </c>
      <c r="L271">
        <v>-5.1000000000000004E-3</v>
      </c>
    </row>
    <row r="272" spans="1:37" ht="15" thickBot="1" x14ac:dyDescent="0.4">
      <c r="A272" s="61"/>
      <c r="L272" s="1"/>
    </row>
    <row r="273" spans="1:12" ht="15" thickBot="1" x14ac:dyDescent="0.4">
      <c r="A273" s="62" t="s">
        <v>133</v>
      </c>
      <c r="B273" s="33" t="s">
        <v>146</v>
      </c>
      <c r="C273" s="32" t="s">
        <v>147</v>
      </c>
      <c r="D273" s="32" t="s">
        <v>148</v>
      </c>
      <c r="E273" s="32" t="s">
        <v>149</v>
      </c>
      <c r="F273" s="32" t="s">
        <v>150</v>
      </c>
      <c r="G273" s="32" t="s">
        <v>151</v>
      </c>
      <c r="H273" s="32" t="s">
        <v>152</v>
      </c>
      <c r="I273" s="32" t="s">
        <v>155</v>
      </c>
      <c r="J273" s="30" t="s">
        <v>127</v>
      </c>
      <c r="K273" s="32" t="s">
        <v>153</v>
      </c>
      <c r="L273" s="33" t="s">
        <v>132</v>
      </c>
    </row>
    <row r="274" spans="1:12" x14ac:dyDescent="0.35">
      <c r="A274" s="36" t="s">
        <v>129</v>
      </c>
      <c r="B274" s="10">
        <f t="shared" ref="B274:L274" si="17">AVERAGE(B3:B271)</f>
        <v>4.7137546468401518E-4</v>
      </c>
      <c r="C274" s="40">
        <f t="shared" si="17"/>
        <v>-8.8773234200743487E-4</v>
      </c>
      <c r="D274" s="40">
        <f t="shared" si="17"/>
        <v>-5.576208178438673E-5</v>
      </c>
      <c r="E274" s="40">
        <f t="shared" si="17"/>
        <v>6.3234200743494343E-4</v>
      </c>
      <c r="F274" s="40">
        <f t="shared" si="17"/>
        <v>1.2163568773234205E-3</v>
      </c>
      <c r="G274" s="40">
        <f t="shared" si="17"/>
        <v>1.2921933085501853E-3</v>
      </c>
      <c r="H274" s="40">
        <f t="shared" si="17"/>
        <v>-2.3717472118959146E-4</v>
      </c>
      <c r="I274" s="40">
        <f t="shared" si="17"/>
        <v>-2.0334572490706296E-4</v>
      </c>
      <c r="J274" s="40">
        <f t="shared" si="17"/>
        <v>1.9828996282527885E-3</v>
      </c>
      <c r="K274" s="40">
        <f t="shared" si="17"/>
        <v>2.2639405204461012E-4</v>
      </c>
      <c r="L274" s="41">
        <f t="shared" si="17"/>
        <v>2.8513011152416385E-4</v>
      </c>
    </row>
    <row r="275" spans="1:12" ht="15" thickBot="1" x14ac:dyDescent="0.4">
      <c r="A275" s="26" t="s">
        <v>128</v>
      </c>
      <c r="B275" s="42">
        <f t="shared" ref="B275" si="18">B274*250</f>
        <v>0.1178438661710038</v>
      </c>
      <c r="C275" s="42">
        <f t="shared" ref="C275" si="19">C274*250</f>
        <v>-0.22193308550185872</v>
      </c>
      <c r="D275" s="42">
        <f t="shared" ref="D275" si="20">D274*250</f>
        <v>-1.3940520446096682E-2</v>
      </c>
      <c r="E275" s="42">
        <f t="shared" ref="E275" si="21">E274*250</f>
        <v>0.15808550185873585</v>
      </c>
      <c r="F275" s="42">
        <f t="shared" ref="F275" si="22">F274*250</f>
        <v>0.30408921933085514</v>
      </c>
      <c r="G275" s="42">
        <f t="shared" ref="G275" si="23">G274*250</f>
        <v>0.32304832713754633</v>
      </c>
      <c r="H275" s="42">
        <f t="shared" ref="H275" si="24">H274*250</f>
        <v>-5.9293680297397865E-2</v>
      </c>
      <c r="I275" s="42">
        <f t="shared" ref="I275" si="25">I274*250</f>
        <v>-5.0836431226765739E-2</v>
      </c>
      <c r="J275" s="42">
        <f t="shared" ref="J275" si="26">J274*250</f>
        <v>0.49572490706319716</v>
      </c>
      <c r="K275" s="42">
        <f t="shared" ref="K275" si="27">K274*250</f>
        <v>5.6598513011152526E-2</v>
      </c>
      <c r="L275" s="38">
        <f t="shared" ref="L275" si="28">L274*250</f>
        <v>7.1282527881040961E-2</v>
      </c>
    </row>
    <row r="276" spans="1:12" x14ac:dyDescent="0.35">
      <c r="A276" s="24" t="s">
        <v>130</v>
      </c>
      <c r="B276" s="28">
        <f t="shared" ref="B276:L276" si="29">_xlfn.STDEV.S(B3:B271)</f>
        <v>1.2170960298742864E-2</v>
      </c>
      <c r="C276" s="28">
        <f t="shared" si="29"/>
        <v>1.2959634449413315E-2</v>
      </c>
      <c r="D276" s="28">
        <f t="shared" si="29"/>
        <v>1.4540928285562455E-2</v>
      </c>
      <c r="E276" s="28">
        <f t="shared" si="29"/>
        <v>1.3382207030864632E-2</v>
      </c>
      <c r="F276" s="28">
        <f t="shared" si="29"/>
        <v>1.8905052237721248E-2</v>
      </c>
      <c r="G276" s="28">
        <f t="shared" si="29"/>
        <v>3.1792309546348645E-2</v>
      </c>
      <c r="H276" s="28">
        <f t="shared" si="29"/>
        <v>2.1611043356883304E-2</v>
      </c>
      <c r="I276" s="28">
        <f t="shared" si="29"/>
        <v>2.302547963984581E-2</v>
      </c>
      <c r="J276" s="28">
        <f t="shared" si="29"/>
        <v>2.4901264828683822E-2</v>
      </c>
      <c r="K276" s="28">
        <f t="shared" si="29"/>
        <v>1.8273482398370223E-2</v>
      </c>
      <c r="L276" s="29">
        <f t="shared" si="29"/>
        <v>7.7923135971092947E-3</v>
      </c>
    </row>
    <row r="277" spans="1:12" ht="15" thickBot="1" x14ac:dyDescent="0.4">
      <c r="A277" s="26" t="s">
        <v>131</v>
      </c>
      <c r="B277" s="54">
        <f t="shared" ref="B277" si="30">B276*SQRT(250)</f>
        <v>0.1924397792775541</v>
      </c>
      <c r="C277" s="54">
        <f t="shared" ref="C277" si="31">C276*SQRT(250)</f>
        <v>0.20490981251664131</v>
      </c>
      <c r="D277" s="54">
        <f t="shared" ref="D277" si="32">D276*SQRT(250)</f>
        <v>0.22991226337772322</v>
      </c>
      <c r="E277" s="54">
        <f t="shared" ref="E277" si="33">E276*SQRT(250)</f>
        <v>0.21159127168725722</v>
      </c>
      <c r="F277" s="54">
        <f t="shared" ref="F277" si="34">F276*SQRT(250)</f>
        <v>0.29891512177831064</v>
      </c>
      <c r="G277" s="54">
        <f t="shared" ref="G277" si="35">G276*SQRT(250)</f>
        <v>0.50268055121788113</v>
      </c>
      <c r="H277" s="54">
        <f t="shared" ref="H277" si="36">H276*SQRT(250)</f>
        <v>0.34170059810201164</v>
      </c>
      <c r="I277" s="54">
        <f t="shared" ref="I277" si="37">I276*SQRT(250)</f>
        <v>0.36406479939873132</v>
      </c>
      <c r="J277" s="54">
        <f t="shared" ref="J277" si="38">J276*SQRT(250)</f>
        <v>0.39372356738841718</v>
      </c>
      <c r="K277" s="54">
        <f t="shared" ref="K277" si="39">K276*SQRT(250)</f>
        <v>0.28892912580923125</v>
      </c>
      <c r="L277" s="55">
        <f t="shared" ref="L277" si="40">L276*SQRT(250)</f>
        <v>0.12320729604582513</v>
      </c>
    </row>
  </sheetData>
  <sortState xmlns:xlrd2="http://schemas.microsoft.com/office/spreadsheetml/2017/richdata2" ref="O14:AF23">
    <sortCondition ref="X12:X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028D-1C44-48F8-A676-2C6C7AF4EE56}">
  <dimension ref="C2:H15"/>
  <sheetViews>
    <sheetView tabSelected="1" workbookViewId="0">
      <selection activeCell="D10" sqref="D10"/>
    </sheetView>
  </sheetViews>
  <sheetFormatPr defaultRowHeight="14.5" x14ac:dyDescent="0.35"/>
  <cols>
    <col min="3" max="3" width="18.54296875" customWidth="1"/>
    <col min="4" max="4" width="20" bestFit="1" customWidth="1"/>
    <col min="5" max="5" width="16.81640625" customWidth="1"/>
    <col min="6" max="6" width="15.453125" bestFit="1" customWidth="1"/>
    <col min="7" max="7" width="13.26953125" customWidth="1"/>
    <col min="8" max="8" width="17.54296875" customWidth="1"/>
  </cols>
  <sheetData>
    <row r="2" spans="3:8" ht="15" thickBot="1" x14ac:dyDescent="0.4"/>
    <row r="3" spans="3:8" ht="15" thickBot="1" x14ac:dyDescent="0.4">
      <c r="C3" s="25" t="s">
        <v>145</v>
      </c>
      <c r="D3" s="39" t="s">
        <v>144</v>
      </c>
      <c r="E3" s="37" t="s">
        <v>128</v>
      </c>
      <c r="F3" s="37" t="s">
        <v>157</v>
      </c>
      <c r="H3" s="82" t="s">
        <v>165</v>
      </c>
    </row>
    <row r="4" spans="3:8" ht="15" thickBot="1" x14ac:dyDescent="0.4">
      <c r="C4" s="36" t="s">
        <v>127</v>
      </c>
      <c r="D4" s="56">
        <v>0.45226064186123344</v>
      </c>
      <c r="E4" s="48">
        <f>Sheet2!X3</f>
        <v>0.49572490706319716</v>
      </c>
      <c r="F4" s="38">
        <f>SUMPRODUCT(D4:D6,E4:E6)</f>
        <v>0.39609701794470475</v>
      </c>
      <c r="H4" s="83">
        <f>Sheet2!V14</f>
        <v>0.28559011061977413</v>
      </c>
    </row>
    <row r="5" spans="3:8" x14ac:dyDescent="0.35">
      <c r="C5" s="24" t="s">
        <v>150</v>
      </c>
      <c r="D5" s="57">
        <v>0.26615862496641723</v>
      </c>
      <c r="E5" s="13">
        <f>Sheet2!T3</f>
        <v>0.30408921933085514</v>
      </c>
      <c r="H5" s="83">
        <f>Sheet2!V15</f>
        <v>0.22323341119151247</v>
      </c>
    </row>
    <row r="6" spans="3:8" ht="15" thickBot="1" x14ac:dyDescent="0.4">
      <c r="C6" s="26" t="s">
        <v>151</v>
      </c>
      <c r="D6" s="58">
        <v>0.28158073317234933</v>
      </c>
      <c r="E6" s="18">
        <f>Sheet2!U3</f>
        <v>0.32304832713754633</v>
      </c>
      <c r="H6" s="84">
        <f>Sheet2!V16</f>
        <v>0.33724203649657858</v>
      </c>
    </row>
    <row r="7" spans="3:8" ht="15" thickBot="1" x14ac:dyDescent="0.4">
      <c r="G7" s="81" t="s">
        <v>166</v>
      </c>
      <c r="H7" s="73">
        <f>AVERAGE(H4:H6)</f>
        <v>0.28202185276928843</v>
      </c>
    </row>
    <row r="8" spans="3:8" ht="15" thickBot="1" x14ac:dyDescent="0.4">
      <c r="C8" s="66" t="s">
        <v>156</v>
      </c>
      <c r="D8" s="67">
        <f>F4</f>
        <v>0.39609701794470475</v>
      </c>
    </row>
    <row r="9" spans="3:8" ht="15" thickBot="1" x14ac:dyDescent="0.4">
      <c r="C9" s="66" t="s">
        <v>159</v>
      </c>
      <c r="D9" s="72">
        <f>Sheet2!Q31</f>
        <v>0.29835900013983507</v>
      </c>
    </row>
    <row r="10" spans="3:8" ht="15" thickBot="1" x14ac:dyDescent="0.4">
      <c r="C10" s="66" t="s">
        <v>160</v>
      </c>
      <c r="D10" s="85">
        <f>D8/D9</f>
        <v>1.3275852840338711</v>
      </c>
    </row>
    <row r="12" spans="3:8" ht="15" thickBot="1" x14ac:dyDescent="0.4"/>
    <row r="13" spans="3:8" x14ac:dyDescent="0.35">
      <c r="C13" s="76" t="s">
        <v>162</v>
      </c>
      <c r="D13" s="79">
        <f>(D8-6%)/D9</f>
        <v>1.1264852670346215</v>
      </c>
    </row>
    <row r="14" spans="3:8" x14ac:dyDescent="0.35">
      <c r="C14" s="77" t="s">
        <v>163</v>
      </c>
      <c r="D14" s="80">
        <f>(D8-6%)/H7</f>
        <v>1.1917410464629958</v>
      </c>
    </row>
    <row r="15" spans="3:8" ht="15" thickBot="1" x14ac:dyDescent="0.4">
      <c r="C15" s="78" t="s">
        <v>164</v>
      </c>
      <c r="D15" s="75">
        <f>(D8-(6%+(1-H7)*Sheet2!Z3))</f>
        <v>0.28491772064675341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Yashovardhan Singh</dc:creator>
  <cp:lastModifiedBy>MANOJ KUMAR RATH</cp:lastModifiedBy>
  <dcterms:created xsi:type="dcterms:W3CDTF">2025-11-26T18:06:23Z</dcterms:created>
  <dcterms:modified xsi:type="dcterms:W3CDTF">2026-01-07T18:56:19Z</dcterms:modified>
</cp:coreProperties>
</file>